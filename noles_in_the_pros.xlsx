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" yWindow="6" windowWidth="23028" windowHeight="13668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'Roster'!$A$1:$K$35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FFFFFF"/>
      <sz val="14"/>
    </font>
    <font>
      <name val="Arial"/>
      <charset val="1"/>
      <i val="1"/>
      <color rgb="FF666666"/>
      <sz val="9"/>
    </font>
    <font>
      <name val="Arial"/>
      <charset val="1"/>
      <b val="1"/>
      <color rgb="FFFFFFFF"/>
      <sz val="10"/>
    </font>
    <font>
      <name val="Arial"/>
      <charset val="1"/>
      <i val="1"/>
      <color rgb="FF888888"/>
      <sz val="8"/>
    </font>
    <font>
      <name val="Calibri"/>
      <b val="1"/>
      <sz val="10"/>
    </font>
    <font>
      <name val="Calibri"/>
      <b val="1"/>
      <color rgb="FFFFFFFF"/>
      <sz val="10"/>
    </font>
    <font>
      <name val="Calibri"/>
      <charset val="1"/>
      <family val="2"/>
      <color theme="10"/>
      <sz val="11"/>
      <u val="single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0" fillId="0" borderId="0"/>
  </cellStyleXfs>
  <cellXfs count="10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 wrapText="1"/>
    </xf>
    <xf numFmtId="0" fontId="2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 wrapText="1"/>
    </xf>
    <xf numFmtId="0" fontId="2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left" vertical="center" wrapText="1"/>
    </xf>
    <xf numFmtId="0" fontId="2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left" vertical="center" wrapText="1"/>
    </xf>
    <xf numFmtId="0" fontId="2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center" vertical="center"/>
    </xf>
    <xf numFmtId="0" fontId="3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left" vertical="center" wrapText="1"/>
    </xf>
    <xf numFmtId="0" fontId="2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center" vertical="center"/>
    </xf>
    <xf numFmtId="0" fontId="3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left" vertical="center" wrapText="1"/>
    </xf>
    <xf numFmtId="0" fontId="6" fillId="17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indent="1"/>
    </xf>
    <xf numFmtId="164" fontId="3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indent="1"/>
    </xf>
    <xf numFmtId="164" fontId="3" fillId="5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indent="1"/>
    </xf>
    <xf numFmtId="164" fontId="3" fillId="7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 indent="1"/>
    </xf>
    <xf numFmtId="164" fontId="3" fillId="9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 indent="1"/>
    </xf>
    <xf numFmtId="164" fontId="3" fillId="11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 indent="1"/>
    </xf>
    <xf numFmtId="164" fontId="3" fillId="13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left" vertical="center" indent="1"/>
    </xf>
    <xf numFmtId="164" fontId="3" fillId="15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center" vertical="center"/>
    </xf>
    <xf numFmtId="0" fontId="3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left" vertical="center" wrapText="1"/>
    </xf>
    <xf numFmtId="0" fontId="2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left" vertical="center" wrapText="1"/>
    </xf>
    <xf numFmtId="0" fontId="2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center" vertical="center"/>
    </xf>
    <xf numFmtId="0" fontId="3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left" vertical="center" wrapText="1"/>
    </xf>
    <xf numFmtId="0" fontId="9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horizontal="center"/>
    </xf>
    <xf numFmtId="0" fontId="8" fillId="21" borderId="0" pivotButton="0" quotePrefix="0" xfId="0"/>
    <xf numFmtId="0" fontId="10" fillId="0" borderId="0" pivotButton="0" quotePrefix="0" xfId="1"/>
    <xf numFmtId="0" fontId="10" fillId="4" borderId="1" applyAlignment="1" pivotButton="0" quotePrefix="0" xfId="1">
      <alignment horizontal="center" vertical="center"/>
    </xf>
    <xf numFmtId="0" fontId="10" fillId="3" borderId="1" applyAlignment="1" pivotButton="0" quotePrefix="0" xfId="1">
      <alignment horizontal="center" vertical="center"/>
    </xf>
    <xf numFmtId="0" fontId="10" fillId="5" borderId="1" applyAlignment="1" pivotButton="0" quotePrefix="0" xfId="1">
      <alignment horizontal="center" vertical="center"/>
    </xf>
    <xf numFmtId="0" fontId="10" fillId="18" borderId="1" applyAlignment="1" pivotButton="0" quotePrefix="0" xfId="1">
      <alignment horizontal="center" vertical="center"/>
    </xf>
    <xf numFmtId="0" fontId="10" fillId="7" borderId="1" applyAlignment="1" pivotButton="0" quotePrefix="0" xfId="1">
      <alignment horizontal="center" vertical="center"/>
    </xf>
    <xf numFmtId="0" fontId="10" fillId="8" borderId="1" applyAlignment="1" pivotButton="0" quotePrefix="0" xfId="1">
      <alignment horizontal="center" vertical="center"/>
    </xf>
    <xf numFmtId="0" fontId="10" fillId="19" borderId="1" applyAlignment="1" pivotButton="0" quotePrefix="0" xfId="1">
      <alignment horizontal="center" vertical="center"/>
    </xf>
    <xf numFmtId="0" fontId="10" fillId="10" borderId="1" applyAlignment="1" pivotButton="0" quotePrefix="0" xfId="1">
      <alignment horizontal="center" vertical="center"/>
    </xf>
    <xf numFmtId="0" fontId="10" fillId="9" borderId="1" applyAlignment="1" pivotButton="0" quotePrefix="0" xfId="1">
      <alignment horizontal="center" vertical="center"/>
    </xf>
    <xf numFmtId="0" fontId="10" fillId="11" borderId="1" applyAlignment="1" pivotButton="0" quotePrefix="0" xfId="1">
      <alignment horizontal="center" vertical="center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lb.com/player/tyler-holton-66394" TargetMode="External" Id="rId1" /><Relationship Type="http://schemas.openxmlformats.org/officeDocument/2006/relationships/hyperlink" Target="https://www.mlb.com/player/parker-messick-800048" TargetMode="External" Id="rId2" /><Relationship Type="http://schemas.openxmlformats.org/officeDocument/2006/relationships/hyperlink" Target="https://www.mlb.com/player/cole-sands-663485" TargetMode="External" Id="rId3" /><Relationship Type="http://schemas.openxmlformats.org/officeDocument/2006/relationships/hyperlink" Target="https://www.mlb.com/player/cam-smith-701358" TargetMode="External" Id="rId4" /><Relationship Type="http://schemas.openxmlformats.org/officeDocument/2006/relationships/hyperlink" Target="https://www.mlb.com/player/taylor-walls-670764" TargetMode="External" Id="rId5" /><Relationship Type="http://schemas.openxmlformats.org/officeDocument/2006/relationships/hyperlink" Target="https://www.mlb.com/player/shane-drohan-675660" TargetMode="External" Id="rId6" /><Relationship Type="http://schemas.openxmlformats.org/officeDocument/2006/relationships/hyperlink" Target="https://www.mlb.com/player/drew-parrish-669283" TargetMode="External" Id="rId7" /><Relationship Type="http://schemas.openxmlformats.org/officeDocument/2006/relationships/hyperlink" Target="https://www.mlb.com/player/dj-stewart-621466" TargetMode="External" Id="rId8" /><Relationship Type="http://schemas.openxmlformats.org/officeDocument/2006/relationships/hyperlink" Target="https://www.mlb.com/player/jamie-arnold-701364" TargetMode="External" Id="rId9" /><Relationship Type="http://schemas.openxmlformats.org/officeDocument/2006/relationships/hyperlink" Target="https://www.milb.com/player/jackson-baumeister-691765" TargetMode="External" Id="rId10" /><Relationship Type="http://schemas.openxmlformats.org/officeDocument/2006/relationships/hyperlink" Target="https://www.milb.com/player/jack-anderson-681252" TargetMode="External" Id="rId11" /><Relationship Type="http://schemas.openxmlformats.org/officeDocument/2006/relationships/hyperlink" Target="https://www.milb.com/player/marco-dinges-701392" TargetMode="External" Id="rId12" /><Relationship Type="http://schemas.openxmlformats.org/officeDocument/2006/relationships/hyperlink" Target="https://www.milb.com/player/wyatt-crowell-694573" TargetMode="External" Id="rId13" /><Relationship Type="http://schemas.openxmlformats.org/officeDocument/2006/relationships/hyperlink" Target="https://www.milb.com/player/gavin-adams-701400" TargetMode="External" Id="rId1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2"/>
  <sheetViews>
    <sheetView showGridLines="0" tabSelected="1" zoomScaleNormal="100" workbookViewId="0">
      <pane ySplit="1" topLeftCell="A24" activePane="bottomLeft" state="frozen"/>
      <selection pane="bottomLeft" activeCell="J39" sqref="J39"/>
    </sheetView>
  </sheetViews>
  <sheetFormatPr baseColWidth="8" defaultColWidth="8.68359375" defaultRowHeight="15" customHeight="1"/>
  <cols>
    <col width="22" customWidth="1" style="89" min="1" max="1"/>
    <col width="9" customWidth="1" style="89" min="2" max="2"/>
    <col width="22" customWidth="1" style="89" min="3" max="3"/>
    <col width="13" customWidth="1" style="89" min="4" max="4"/>
    <col width="26" customWidth="1" style="89" min="5" max="5"/>
    <col width="10" customWidth="1" style="89" min="6" max="6"/>
    <col width="11" customWidth="1" style="89" min="7" max="8"/>
    <col width="10" customWidth="1" style="89" min="9" max="10"/>
    <col width="60" customWidth="1" style="89" min="11" max="11"/>
  </cols>
  <sheetData>
    <row r="1" ht="21.75" customHeight="1" s="89">
      <c r="A1" s="1" t="inlineStr">
        <is>
          <t>Player Name</t>
        </is>
      </c>
      <c r="B1" s="1" t="inlineStr">
        <is>
          <t>Position</t>
        </is>
      </c>
      <c r="C1" s="1" t="inlineStr">
        <is>
          <t>Organization</t>
        </is>
      </c>
      <c r="D1" s="1" t="inlineStr">
        <is>
          <t>Level</t>
        </is>
      </c>
      <c r="E1" s="1" t="inlineStr">
        <is>
          <t>Affiliate Team</t>
        </is>
      </c>
      <c r="F1" s="1" t="inlineStr">
        <is>
          <t>Draft Year</t>
        </is>
      </c>
      <c r="G1" s="1" t="inlineStr">
        <is>
          <t>Draft Round</t>
        </is>
      </c>
      <c r="H1" s="1" t="inlineStr">
        <is>
          <t>Draft Pick #</t>
        </is>
      </c>
      <c r="I1" s="1" t="inlineStr">
        <is>
          <t>From</t>
        </is>
      </c>
      <c r="J1" s="1" t="inlineStr">
        <is>
          <t>URL</t>
        </is>
      </c>
      <c r="K1" s="1" t="inlineStr">
        <is>
          <t>Notes</t>
        </is>
      </c>
      <c r="L1" t="inlineStr">
        <is>
          <t>Base Level</t>
        </is>
      </c>
    </row>
    <row r="2" ht="18" customHeight="1" s="89">
      <c r="A2" s="2" t="inlineStr">
        <is>
          <t>Cal Raleigh</t>
        </is>
      </c>
      <c r="B2" s="3" t="inlineStr">
        <is>
          <t>C</t>
        </is>
      </c>
      <c r="C2" s="3" t="inlineStr">
        <is>
          <t>Seattle Mariners</t>
        </is>
      </c>
      <c r="D2" s="3" t="inlineStr">
        <is>
          <t>MLB</t>
        </is>
      </c>
      <c r="E2" s="4" t="inlineStr">
        <is>
          <t>Seattle Mariners</t>
        </is>
      </c>
      <c r="F2" s="3" t="n">
        <v>2018</v>
      </c>
      <c r="G2" s="3" t="n">
        <v>3</v>
      </c>
      <c r="H2" s="3" t="n">
        <v>83</v>
      </c>
      <c r="I2" s="3" t="n"/>
      <c r="J2" s="93" t="inlineStr">
        <is>
          <t>https://www.mlb.com/player/cal-raleigh-663728</t>
        </is>
      </c>
      <c r="K2" s="5" t="inlineStr">
        <is>
          <t>60 HR in 2025, broke catcher/switch-hitter HR record, 6yr/$105M extension</t>
        </is>
      </c>
    </row>
    <row r="3" ht="18" customHeight="1" s="89">
      <c r="A3" s="6" t="inlineStr">
        <is>
          <t>Luke Weaver</t>
        </is>
      </c>
      <c r="B3" s="7" t="inlineStr">
        <is>
          <t>RHP</t>
        </is>
      </c>
      <c r="C3" s="7" t="inlineStr">
        <is>
          <t>New York Mets</t>
        </is>
      </c>
      <c r="D3" s="7" t="inlineStr">
        <is>
          <t>MLB</t>
        </is>
      </c>
      <c r="E3" s="8" t="inlineStr">
        <is>
          <t>New York Mets</t>
        </is>
      </c>
      <c r="F3" s="7" t="n">
        <v>2014</v>
      </c>
      <c r="G3" s="7" t="n">
        <v>1</v>
      </c>
      <c r="H3" s="7" t="n">
        <v>27</v>
      </c>
      <c r="I3" s="7" t="n"/>
      <c r="J3" s="94" t="inlineStr">
        <is>
          <t>https://www.mlb.com/player/luke-weaver-596133</t>
        </is>
      </c>
      <c r="K3" s="9" t="inlineStr">
        <is>
          <t>2yr/$22M deal with Mets, top setup man</t>
        </is>
      </c>
    </row>
    <row r="4" ht="18" customHeight="1" s="89">
      <c r="A4" s="2" t="inlineStr">
        <is>
          <t>Tyler Holton</t>
        </is>
      </c>
      <c r="B4" s="3" t="inlineStr">
        <is>
          <t>LHP</t>
        </is>
      </c>
      <c r="C4" s="3" t="inlineStr">
        <is>
          <t>Detroit Tigers</t>
        </is>
      </c>
      <c r="D4" s="3" t="inlineStr">
        <is>
          <t>MLB</t>
        </is>
      </c>
      <c r="E4" s="4" t="inlineStr">
        <is>
          <t>Detroit Tigers</t>
        </is>
      </c>
      <c r="F4" s="3" t="n">
        <v>2018</v>
      </c>
      <c r="G4" s="3" t="n">
        <v>9</v>
      </c>
      <c r="H4" s="3" t="n">
        <v>263</v>
      </c>
      <c r="I4" s="3" t="n"/>
      <c r="J4" s="95" t="inlineStr">
        <is>
          <t>https://www.mlb.com/player/tyler-holton-663947</t>
        </is>
      </c>
      <c r="K4" s="5" t="inlineStr">
        <is>
          <t>Born in Tallahassee, FL; 3.66 ERA, 70 appearances in 2025</t>
        </is>
      </c>
    </row>
    <row r="5" ht="18" customHeight="1" s="89">
      <c r="A5" s="6" t="inlineStr">
        <is>
          <t>Parker Messick</t>
        </is>
      </c>
      <c r="B5" s="7" t="inlineStr">
        <is>
          <t>LHP</t>
        </is>
      </c>
      <c r="C5" s="7" t="inlineStr">
        <is>
          <t>Cleveland Guardians</t>
        </is>
      </c>
      <c r="D5" s="7" t="inlineStr">
        <is>
          <t>MLB</t>
        </is>
      </c>
      <c r="E5" s="8" t="inlineStr">
        <is>
          <t>Cleveland Guardians</t>
        </is>
      </c>
      <c r="F5" s="7" t="n">
        <v>2022</v>
      </c>
      <c r="G5" s="7" t="n">
        <v>2</v>
      </c>
      <c r="H5" s="7" t="n">
        <v>46</v>
      </c>
      <c r="I5" s="7" t="n"/>
      <c r="J5" s="94" t="inlineStr">
        <is>
          <t>https://www.mlb.com/player/parker-messick-800048</t>
        </is>
      </c>
      <c r="K5" s="9" t="inlineStr">
        <is>
          <t>2.72 ERA in 7 MLB starts in 2025, earned spot in 2026 rotation</t>
        </is>
      </c>
    </row>
    <row r="6" ht="18" customHeight="1" s="89">
      <c r="A6" s="2" t="inlineStr">
        <is>
          <t>Cole Sands</t>
        </is>
      </c>
      <c r="B6" s="3" t="inlineStr">
        <is>
          <t>RHP</t>
        </is>
      </c>
      <c r="C6" s="3" t="inlineStr">
        <is>
          <t>Minnesota Twins</t>
        </is>
      </c>
      <c r="D6" s="3" t="inlineStr">
        <is>
          <t>MLB</t>
        </is>
      </c>
      <c r="E6" s="4" t="inlineStr">
        <is>
          <t>Minnesota Twins</t>
        </is>
      </c>
      <c r="F6" s="3" t="n">
        <v>2018</v>
      </c>
      <c r="G6" s="3" t="n">
        <v>5</v>
      </c>
      <c r="H6" s="3" t="n">
        <v>146</v>
      </c>
      <c r="I6" s="3" t="n"/>
      <c r="J6" s="95" t="inlineStr">
        <is>
          <t>https://www.mlb.com/player/cole-sands-663485</t>
        </is>
      </c>
      <c r="K6" s="5" t="inlineStr">
        <is>
          <t>69 G, 72 IP, 4.50 ERA in 2025; re-signed 1yr/$1.1M</t>
        </is>
      </c>
    </row>
    <row r="7" ht="18" customHeight="1" s="89">
      <c r="A7" s="6" t="inlineStr">
        <is>
          <t>Cam Smith</t>
        </is>
      </c>
      <c r="B7" s="7" t="inlineStr">
        <is>
          <t>OF/3B</t>
        </is>
      </c>
      <c r="C7" s="7" t="inlineStr">
        <is>
          <t>Houston Astros</t>
        </is>
      </c>
      <c r="D7" s="7" t="inlineStr">
        <is>
          <t>MLB</t>
        </is>
      </c>
      <c r="E7" s="8" t="inlineStr">
        <is>
          <t>Houston Astros</t>
        </is>
      </c>
      <c r="F7" s="7" t="n">
        <v>2024</v>
      </c>
      <c r="G7" s="7" t="n">
        <v>1</v>
      </c>
      <c r="H7" s="7" t="n">
        <v>14</v>
      </c>
      <c r="I7" s="7" t="n"/>
      <c r="J7" s="94" t="inlineStr">
        <is>
          <t>https://www.mlb.com/player/cam-smith-701358</t>
        </is>
      </c>
      <c r="K7" s="9" t="inlineStr">
        <is>
          <t>14th overall pick, traded from Cubs in Kyle Tucker deal; projected starting RF 2026</t>
        </is>
      </c>
    </row>
    <row r="8" ht="18" customHeight="1" s="89">
      <c r="A8" s="2" t="inlineStr">
        <is>
          <t>Taylor Walls</t>
        </is>
      </c>
      <c r="B8" s="3" t="inlineStr">
        <is>
          <t>SS</t>
        </is>
      </c>
      <c r="C8" s="3" t="inlineStr">
        <is>
          <t>Tampa Bay Rays</t>
        </is>
      </c>
      <c r="D8" s="3" t="inlineStr">
        <is>
          <t>MLB</t>
        </is>
      </c>
      <c r="E8" s="4" t="inlineStr">
        <is>
          <t>Tampa Bay Rays</t>
        </is>
      </c>
      <c r="F8" s="3" t="n">
        <v>2017</v>
      </c>
      <c r="G8" s="3" t="n">
        <v>3</v>
      </c>
      <c r="H8" s="3" t="n">
        <v>88</v>
      </c>
      <c r="I8" s="3" t="n"/>
      <c r="J8" s="95" t="inlineStr">
        <is>
          <t>https://www.mlb.com/player/taylor-walls-670764</t>
        </is>
      </c>
      <c r="K8" s="5" t="inlineStr">
        <is>
          <t>17 DRS in 2025, Gold Glove finalist; on IL to open 2026 (right oblique)</t>
        </is>
      </c>
    </row>
    <row r="9" ht="18" customHeight="1" s="89">
      <c r="A9" s="10" t="inlineStr">
        <is>
          <t>Shane Drohan</t>
        </is>
      </c>
      <c r="B9" s="11" t="inlineStr">
        <is>
          <t>LHP</t>
        </is>
      </c>
      <c r="C9" s="11" t="inlineStr">
        <is>
          <t>Milwaukee Brewers</t>
        </is>
      </c>
      <c r="D9" s="11" t="inlineStr">
        <is>
          <t>MLB</t>
        </is>
      </c>
      <c r="E9" s="12" t="inlineStr">
        <is>
          <t>Milwaukee Brewers</t>
        </is>
      </c>
      <c r="F9" s="11" t="n">
        <v>2020</v>
      </c>
      <c r="G9" s="11" t="n">
        <v>5</v>
      </c>
      <c r="H9" s="11" t="n">
        <v>148</v>
      </c>
      <c r="I9" s="11" t="n"/>
      <c r="J9" s="96" t="inlineStr">
        <is>
          <t>https://www.mlb.com/player/shane-drohan-675660</t>
        </is>
      </c>
      <c r="K9" s="13" t="inlineStr">
        <is>
          <t>MLB debut 2026 with Milwaukee Brewers; traded from BOS Feb 2026; previously 2.27 ERA at Triple-A in 2025</t>
        </is>
      </c>
    </row>
    <row r="10" ht="18" customHeight="1" s="89">
      <c r="A10" s="14" t="inlineStr">
        <is>
          <t>James Tibbs III</t>
        </is>
      </c>
      <c r="B10" s="15" t="inlineStr">
        <is>
          <t>OF</t>
        </is>
      </c>
      <c r="C10" s="15" t="inlineStr">
        <is>
          <t>Los Angeles Dodgers</t>
        </is>
      </c>
      <c r="D10" s="15" t="inlineStr">
        <is>
          <t>AAA</t>
        </is>
      </c>
      <c r="E10" s="16" t="inlineStr">
        <is>
          <t>Oklahoma City Comets</t>
        </is>
      </c>
      <c r="F10" s="15" t="n">
        <v>2024</v>
      </c>
      <c r="G10" s="15" t="n">
        <v>1</v>
      </c>
      <c r="H10" s="15" t="n">
        <v>13</v>
      </c>
      <c r="I10" s="15" t="n"/>
      <c r="J10" s="15" t="inlineStr">
        <is>
          <t>https://www.mlb.com/player/james-tibbs-iii-696486</t>
        </is>
      </c>
      <c r="K10" s="17" t="inlineStr">
        <is>
          <t>13th overall pick; traded twice in 2025 (BOS then LAD); #11 Dodgers prospect; All-Spring Breakout First Team 2026</t>
        </is>
      </c>
    </row>
    <row r="11" ht="18" customHeight="1" s="89">
      <c r="A11" s="10" t="inlineStr">
        <is>
          <t>CJ Van Eyk</t>
        </is>
      </c>
      <c r="B11" s="11" t="inlineStr">
        <is>
          <t>RHP</t>
        </is>
      </c>
      <c r="C11" s="11" t="inlineStr">
        <is>
          <t>Toronto Blue Jays</t>
        </is>
      </c>
      <c r="D11" s="11" t="inlineStr">
        <is>
          <t>AAA</t>
        </is>
      </c>
      <c r="E11" s="12" t="inlineStr">
        <is>
          <t>Buffalo Bisons</t>
        </is>
      </c>
      <c r="F11" s="11" t="n">
        <v>2020</v>
      </c>
      <c r="G11" s="11" t="n">
        <v>2</v>
      </c>
      <c r="H11" s="11" t="n">
        <v>42</v>
      </c>
      <c r="I11" s="11" t="n"/>
      <c r="J11" s="11" t="inlineStr">
        <is>
          <t>https://www.mlb.com/player/cj-van-eyk-669310</t>
        </is>
      </c>
      <c r="K11" s="13" t="inlineStr">
        <is>
          <t>Starter/reliever; non-roster invitee for 2026 spring</t>
        </is>
      </c>
    </row>
    <row r="12" ht="18" customHeight="1" s="89">
      <c r="A12" s="73" t="inlineStr">
        <is>
          <t>Brandon Leibrandt</t>
        </is>
      </c>
      <c r="B12" s="74" t="inlineStr">
        <is>
          <t>LHP</t>
        </is>
      </c>
      <c r="C12" s="74" t="inlineStr">
        <is>
          <t>Cincinnati Reds</t>
        </is>
      </c>
      <c r="D12" s="74" t="inlineStr">
        <is>
          <t>AAA</t>
        </is>
      </c>
      <c r="E12" s="75" t="inlineStr">
        <is>
          <t>Louisville Bats</t>
        </is>
      </c>
      <c r="F12" s="74" t="n">
        <v>2014</v>
      </c>
      <c r="G12" s="74" t="inlineStr">
        <is>
          <t>—</t>
        </is>
      </c>
      <c r="H12" s="74" t="inlineStr">
        <is>
          <t>—</t>
        </is>
      </c>
      <c r="I12" s="74" t="n"/>
      <c r="J12" s="74" t="inlineStr">
        <is>
          <t>https://www.mlb.com/player/brandon-leibrandt-605335</t>
        </is>
      </c>
      <c r="K12" s="76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89">
      <c r="A13" s="73" t="inlineStr">
        <is>
          <t>Drew Parrish</t>
        </is>
      </c>
      <c r="B13" s="74" t="inlineStr">
        <is>
          <t>LHP</t>
        </is>
      </c>
      <c r="C13" s="74" t="inlineStr">
        <is>
          <t>Cincinnati Reds</t>
        </is>
      </c>
      <c r="D13" s="74" t="inlineStr">
        <is>
          <t>AAA</t>
        </is>
      </c>
      <c r="E13" s="75" t="inlineStr">
        <is>
          <t>Louisville Bats</t>
        </is>
      </c>
      <c r="F13" s="74" t="n">
        <v>2019</v>
      </c>
      <c r="G13" s="74" t="n">
        <v>8</v>
      </c>
      <c r="H13" s="74" t="n">
        <v>229</v>
      </c>
      <c r="I13" s="74" t="n"/>
      <c r="J13" s="97" t="inlineStr">
        <is>
          <t>https://www.mlb.com/player/drew-parrish-669283</t>
        </is>
      </c>
      <c r="K13" s="76" t="inlineStr">
        <is>
          <t>Royals 8th-round pick 2019; 4.37 ERA in 29 app across Triple-A/Double-A in 2025; signed with Reds Dec 2024</t>
        </is>
      </c>
    </row>
    <row r="14" ht="18" customHeight="1" s="89">
      <c r="A14" s="73" t="inlineStr">
        <is>
          <t>DJ Stewart</t>
        </is>
      </c>
      <c r="B14" s="74" t="inlineStr">
        <is>
          <t>OF</t>
        </is>
      </c>
      <c r="C14" s="74" t="inlineStr">
        <is>
          <t>Free Agent</t>
        </is>
      </c>
      <c r="D14" s="74" t="inlineStr">
        <is>
          <t>Released</t>
        </is>
      </c>
      <c r="E14" s="75" t="inlineStr">
        <is>
          <t>—</t>
        </is>
      </c>
      <c r="F14" s="74" t="n">
        <v>2015</v>
      </c>
      <c r="G14" s="74" t="n">
        <v>1</v>
      </c>
      <c r="H14" s="74" t="n">
        <v>25</v>
      </c>
      <c r="I14" s="74" t="n"/>
      <c r="J14" s="97" t="inlineStr">
        <is>
          <t>https://www.mlb.com/player/dj-stewart-621466</t>
        </is>
      </c>
      <c r="K14" s="76" t="inlineStr">
        <is>
          <t>Orioles 1st-round pick (25th overall) 2015; released by Pirates after .128/.250/.263 in 156 PA at Triple-A Indianapolis; currently a free agent</t>
        </is>
      </c>
    </row>
    <row r="15" ht="18" customHeight="1" s="89">
      <c r="A15" s="18" t="inlineStr">
        <is>
          <t>Jamie Arnold</t>
        </is>
      </c>
      <c r="B15" s="19" t="inlineStr">
        <is>
          <t>LHP</t>
        </is>
      </c>
      <c r="C15" s="19" t="inlineStr">
        <is>
          <t>Oakland Athletics</t>
        </is>
      </c>
      <c r="D15" s="19" t="inlineStr">
        <is>
          <t>AA</t>
        </is>
      </c>
      <c r="E15" s="20" t="inlineStr">
        <is>
          <t>Midland RockHounds</t>
        </is>
      </c>
      <c r="F15" s="19" t="n">
        <v>2025</v>
      </c>
      <c r="G15" s="19" t="n">
        <v>1</v>
      </c>
      <c r="H15" s="19" t="n">
        <v>11</v>
      </c>
      <c r="I15" s="19" t="n"/>
      <c r="J15" s="98" t="inlineStr">
        <is>
          <t>https://www.mlb.com/player/jamie-arnold-701364</t>
        </is>
      </c>
      <c r="K15" s="21" t="inlineStr">
        <is>
          <t>11th overall pick 2025; Chris Sale-like delivery; fast-tracked to Double-A</t>
        </is>
      </c>
    </row>
    <row r="16" ht="18" customHeight="1" s="89">
      <c r="A16" s="22" t="inlineStr">
        <is>
          <t>Jackson Baumeister</t>
        </is>
      </c>
      <c r="B16" s="23" t="inlineStr">
        <is>
          <t>RHP</t>
        </is>
      </c>
      <c r="C16" s="23" t="inlineStr">
        <is>
          <t>Tampa Bay Rays</t>
        </is>
      </c>
      <c r="D16" s="23" t="inlineStr">
        <is>
          <t>AA</t>
        </is>
      </c>
      <c r="E16" s="24" t="inlineStr">
        <is>
          <t>Montgomery Biscuits</t>
        </is>
      </c>
      <c r="F16" s="23" t="n">
        <v>2023</v>
      </c>
      <c r="G16" s="23" t="n">
        <v>2</v>
      </c>
      <c r="H16" s="23" t="n">
        <v>63</v>
      </c>
      <c r="I16" s="23" t="n"/>
      <c r="J16" s="99" t="inlineStr">
        <is>
          <t>https://www.mlb.com/player/jackson-baumeister-691765</t>
        </is>
      </c>
      <c r="K16" s="25" t="inlineStr">
        <is>
          <t>Shoulder injury derailed 2025 early; sub-1.00 ERA over final 5 starts</t>
        </is>
      </c>
    </row>
    <row r="17" ht="18" customHeight="1" s="89">
      <c r="A17" s="77" t="inlineStr">
        <is>
          <t>Jack Anderson</t>
        </is>
      </c>
      <c r="B17" s="78" t="inlineStr">
        <is>
          <t>RHP</t>
        </is>
      </c>
      <c r="C17" s="78" t="inlineStr">
        <is>
          <t>Boston Red Sox</t>
        </is>
      </c>
      <c r="D17" s="78" t="inlineStr">
        <is>
          <t>MLB</t>
        </is>
      </c>
      <c r="E17" s="79" t="inlineStr">
        <is>
          <t>Boston Red Sox</t>
        </is>
      </c>
      <c r="F17" s="78" t="n">
        <v>2021</v>
      </c>
      <c r="G17" s="78" t="n">
        <v>16</v>
      </c>
      <c r="H17" s="78" t="inlineStr">
        <is>
          <t>—</t>
        </is>
      </c>
      <c r="I17" s="78" t="n"/>
      <c r="J17" s="100" t="inlineStr">
        <is>
          <t>https://www.mlb.com/player/jack-anderson-681252</t>
        </is>
      </c>
      <c r="K17" s="80" t="inlineStr">
        <is>
          <t>Tigers 16th-round pick 2021; acquired by Red Sox via Rule 5 Draft Dec 2024; 3.58 ERA, 90 K at Double-A Portland in 2025; named to WBC roster (Great Britain) Feb 2026; called up to Boston Red Sox April 2026</t>
        </is>
      </c>
    </row>
    <row r="18" ht="18" customHeight="1" s="89">
      <c r="A18" s="77" t="inlineStr">
        <is>
          <t>J.C. Flowers</t>
        </is>
      </c>
      <c r="B18" s="78" t="inlineStr">
        <is>
          <t>RHP</t>
        </is>
      </c>
      <c r="C18" s="78" t="inlineStr">
        <is>
          <t>Pittsburgh Pirates</t>
        </is>
      </c>
      <c r="D18" s="78" t="inlineStr">
        <is>
          <t>Released</t>
        </is>
      </c>
      <c r="E18" s="79" t="inlineStr">
        <is>
          <t>Altoona Curve</t>
        </is>
      </c>
      <c r="F18" s="78" t="n">
        <v>2019</v>
      </c>
      <c r="G18" s="78" t="n">
        <v>4</v>
      </c>
      <c r="H18" s="78" t="n">
        <v>124</v>
      </c>
      <c r="I18" s="78" t="n"/>
      <c r="J18" s="78" t="inlineStr">
        <is>
          <t>https://www.mlb.com/player/j-c-flowers-669001</t>
        </is>
      </c>
      <c r="K18" s="80" t="inlineStr">
        <is>
          <t>Pirates 4th-round pick 2019 (124th overall); two-way player at FSU (P/CF); sits low-90s FB with plus slider</t>
        </is>
      </c>
    </row>
    <row r="19" ht="18" customHeight="1" s="89">
      <c r="A19" s="26" t="inlineStr">
        <is>
          <t>Alex Lodise</t>
        </is>
      </c>
      <c r="B19" s="27" t="inlineStr">
        <is>
          <t>SS</t>
        </is>
      </c>
      <c r="C19" s="27" t="inlineStr">
        <is>
          <t>Atlanta Braves</t>
        </is>
      </c>
      <c r="D19" s="27" t="inlineStr">
        <is>
          <t>Low-A</t>
        </is>
      </c>
      <c r="E19" s="28" t="inlineStr">
        <is>
          <t>Augusta GreenJackets</t>
        </is>
      </c>
      <c r="F19" s="27" t="n">
        <v>2025</v>
      </c>
      <c r="G19" s="27" t="n">
        <v>2</v>
      </c>
      <c r="H19" s="27" t="n">
        <v>60</v>
      </c>
      <c r="I19" s="27" t="n"/>
      <c r="J19" s="27" t="inlineStr">
        <is>
          <t>https://www.mlb.com/player/alex-lodise-822676</t>
        </is>
      </c>
      <c r="K19" s="29" t="inlineStr">
        <is>
          <t>Dick Howser Trophy winner 2025 (national POY); .394/17HR/68RBI at FSU; #5 Braves prospect</t>
        </is>
      </c>
    </row>
    <row r="20" ht="18" customHeight="1" s="89">
      <c r="A20" s="30" t="inlineStr">
        <is>
          <t>Marco Dinges</t>
        </is>
      </c>
      <c r="B20" s="31" t="inlineStr">
        <is>
          <t>C</t>
        </is>
      </c>
      <c r="C20" s="31" t="inlineStr">
        <is>
          <t>Milwaukee Brewers</t>
        </is>
      </c>
      <c r="D20" s="31" t="inlineStr">
        <is>
          <t>High-A</t>
        </is>
      </c>
      <c r="E20" s="32" t="inlineStr">
        <is>
          <t>Wisconsin Timber Rattlers</t>
        </is>
      </c>
      <c r="F20" s="31" t="n">
        <v>2024</v>
      </c>
      <c r="G20" s="31" t="n">
        <v>4</v>
      </c>
      <c r="H20" s="31" t="n">
        <v>123</v>
      </c>
      <c r="I20" s="31" t="n"/>
      <c r="J20" s="101" t="inlineStr">
        <is>
          <t>https://www.mlb.com/player/marco-dinges-701392</t>
        </is>
      </c>
      <c r="K20" s="33" t="inlineStr">
        <is>
          <t>.316 BA, 6 HR, .920 OPS in first pro season; Brewers April MiLB Player of the Month</t>
        </is>
      </c>
    </row>
    <row r="21" ht="18" customHeight="1" s="89">
      <c r="A21" s="26" t="inlineStr">
        <is>
          <t>Jaime Ferrer</t>
        </is>
      </c>
      <c r="B21" s="27" t="inlineStr">
        <is>
          <t>OF</t>
        </is>
      </c>
      <c r="C21" s="27" t="inlineStr">
        <is>
          <t>Minnesota Twins</t>
        </is>
      </c>
      <c r="D21" s="27" t="inlineStr">
        <is>
          <t>High-A</t>
        </is>
      </c>
      <c r="E21" s="28" t="inlineStr">
        <is>
          <t>Cedar Rapids Kernels</t>
        </is>
      </c>
      <c r="F21" s="27" t="n">
        <v>2024</v>
      </c>
      <c r="G21" s="27" t="n">
        <v>4</v>
      </c>
      <c r="H21" s="27" t="n">
        <v>126</v>
      </c>
      <c r="I21" s="27" t="n"/>
      <c r="J21" s="27" t="inlineStr">
        <is>
          <t>https://www.mlb.com/player/jaime-ferrer-695634</t>
        </is>
      </c>
      <c r="K21" s="29" t="inlineStr">
        <is>
          <t>Hit .317/22HR at FSU; adjusting to pro pitching (.143 in 2025)</t>
        </is>
      </c>
    </row>
    <row r="22" ht="18" customHeight="1" s="89">
      <c r="A22" s="30" t="inlineStr">
        <is>
          <t>Carson Dorsey</t>
        </is>
      </c>
      <c r="B22" s="31" t="inlineStr">
        <is>
          <t>LHP</t>
        </is>
      </c>
      <c r="C22" s="31" t="inlineStr">
        <is>
          <t>Baltimore Orioles</t>
        </is>
      </c>
      <c r="D22" s="31" t="inlineStr">
        <is>
          <t>High-A</t>
        </is>
      </c>
      <c r="E22" s="32" t="inlineStr">
        <is>
          <t>Aberdeen IronBirds</t>
        </is>
      </c>
      <c r="F22" s="31" t="n">
        <v>2024</v>
      </c>
      <c r="G22" s="31" t="n">
        <v>7</v>
      </c>
      <c r="H22" s="31" t="inlineStr">
        <is>
          <t>—</t>
        </is>
      </c>
      <c r="I22" s="31" t="n"/>
      <c r="J22" s="31" t="inlineStr">
        <is>
          <t>https://www.mlb.com/player/carson-dorsey-805955</t>
        </is>
      </c>
      <c r="K22" s="33" t="inlineStr">
        <is>
          <t>Limited by injury in 2025; strong FSU postseason performer</t>
        </is>
      </c>
    </row>
    <row r="23" ht="18" customHeight="1" s="89">
      <c r="A23" t="inlineStr">
        <is>
          <t>Joe Charles</t>
        </is>
      </c>
      <c r="B23" t="inlineStr">
        <is>
          <t>RHP</t>
        </is>
      </c>
      <c r="C23" t="inlineStr">
        <is>
          <t>New York Mets</t>
        </is>
      </c>
      <c r="D23" t="inlineStr">
        <is>
          <t>High-A</t>
        </is>
      </c>
      <c r="E23" t="inlineStr">
        <is>
          <t>Brooklyn Cyclones</t>
        </is>
      </c>
      <c r="F23" t="n">
        <v>2019</v>
      </c>
      <c r="G23" t="n">
        <v>25</v>
      </c>
      <c r="H23" t="n">
        <v>748</v>
      </c>
      <c r="J23" t="inlineStr">
        <is>
          <t>https://www.milb.com/player/joe-charles-683087</t>
        </is>
      </c>
      <c r="K23" t="inlineStr">
        <is>
          <t>2019 25th-round pick; signed as FA by Mets Aug 2025 after FSU career; promoted to High-A Brooklyn April 2026</t>
        </is>
      </c>
    </row>
    <row r="24" ht="18" customHeight="1" s="89">
      <c r="A24" s="26" t="inlineStr">
        <is>
          <t>Wyatt Crowell</t>
        </is>
      </c>
      <c r="B24" s="27" t="inlineStr">
        <is>
          <t>LHP</t>
        </is>
      </c>
      <c r="C24" s="27" t="inlineStr">
        <is>
          <t>Los Angeles Dodgers</t>
        </is>
      </c>
      <c r="D24" s="27" t="inlineStr">
        <is>
          <t>AA</t>
        </is>
      </c>
      <c r="E24" s="28" t="inlineStr">
        <is>
          <t>Tulsa Drillers</t>
        </is>
      </c>
      <c r="F24" s="27" t="n">
        <v>2023</v>
      </c>
      <c r="G24" s="27" t="n">
        <v>4</v>
      </c>
      <c r="H24" s="27" t="inlineStr">
        <is>
          <t>—</t>
        </is>
      </c>
      <c r="I24" s="27" t="n"/>
      <c r="J24" s="102" t="inlineStr">
        <is>
          <t>https://www.mlb.com/player/wyatt-crowell-694573</t>
        </is>
      </c>
      <c r="K24" s="29" t="inlineStr">
        <is>
          <t>Returned from Tommy John in 2025; mid-80s slider with ~50% whiff rate</t>
        </is>
      </c>
    </row>
    <row r="25" ht="18" customHeight="1" s="89">
      <c r="A25" s="34" t="inlineStr">
        <is>
          <t>Gavin Adams</t>
        </is>
      </c>
      <c r="B25" s="35" t="inlineStr">
        <is>
          <t>RHP</t>
        </is>
      </c>
      <c r="C25" s="35" t="inlineStr">
        <is>
          <t>Pittsburgh Pirates</t>
        </is>
      </c>
      <c r="D25" s="35" t="inlineStr">
        <is>
          <t>Low-A</t>
        </is>
      </c>
      <c r="E25" s="36" t="inlineStr">
        <is>
          <t>Bradenton Marauders</t>
        </is>
      </c>
      <c r="F25" s="35" t="n">
        <v>2024</v>
      </c>
      <c r="G25" s="35" t="n">
        <v>8</v>
      </c>
      <c r="H25" s="35" t="inlineStr">
        <is>
          <t>—</t>
        </is>
      </c>
      <c r="I25" s="35" t="n"/>
      <c r="J25" s="103" t="inlineStr">
        <is>
          <t>https://www.mlb.com/player/gavin-adams-701400</t>
        </is>
      </c>
      <c r="K25" s="37" t="inlineStr">
        <is>
          <t>2024 8th-round pick</t>
        </is>
      </c>
    </row>
    <row r="26" ht="18" customHeight="1" s="89">
      <c r="A26" s="38" t="inlineStr">
        <is>
          <t>Yoel Tejeda Jr.</t>
        </is>
      </c>
      <c r="B26" s="39" t="inlineStr">
        <is>
          <t>RHP</t>
        </is>
      </c>
      <c r="C26" s="39" t="inlineStr">
        <is>
          <t>Washington Nationals</t>
        </is>
      </c>
      <c r="D26" s="39" t="inlineStr">
        <is>
          <t>Low-A</t>
        </is>
      </c>
      <c r="E26" s="40" t="inlineStr">
        <is>
          <t>Wilmington Blue Rocks</t>
        </is>
      </c>
      <c r="F26" s="39" t="n">
        <v>2024</v>
      </c>
      <c r="G26" s="39" t="n">
        <v>14</v>
      </c>
      <c r="H26" s="39" t="inlineStr">
        <is>
          <t>—</t>
        </is>
      </c>
      <c r="I26" s="39" t="n"/>
      <c r="J26" s="39" t="inlineStr">
        <is>
          <t>https://www.mlb.com/player/yoel-tejeda-jr-701347</t>
        </is>
      </c>
      <c r="K26" s="41" t="inlineStr">
        <is>
          <t>2024 14th-round pick</t>
        </is>
      </c>
    </row>
    <row r="27" ht="18" customHeight="1" s="89">
      <c r="A27" s="34" t="inlineStr">
        <is>
          <t>Conner Whittaker</t>
        </is>
      </c>
      <c r="B27" s="35" t="inlineStr">
        <is>
          <t>LHP</t>
        </is>
      </c>
      <c r="C27" s="35" t="inlineStr">
        <is>
          <t>Cleveland Guardians</t>
        </is>
      </c>
      <c r="D27" s="35" t="inlineStr">
        <is>
          <t>High-A</t>
        </is>
      </c>
      <c r="E27" s="36" t="inlineStr">
        <is>
          <t>Lake County Captains</t>
        </is>
      </c>
      <c r="F27" s="35" t="n">
        <v>2024</v>
      </c>
      <c r="G27" s="35" t="n">
        <v>15</v>
      </c>
      <c r="H27" s="35" t="inlineStr">
        <is>
          <t>—</t>
        </is>
      </c>
      <c r="I27" s="35" t="n"/>
      <c r="J27" s="35" t="inlineStr">
        <is>
          <t>https://www.mlb.com/player/conner-whittaker-701422</t>
        </is>
      </c>
      <c r="K27" s="37" t="inlineStr">
        <is>
          <t>2024 15th-round pick</t>
        </is>
      </c>
    </row>
    <row r="28" ht="18" customHeight="1" s="89">
      <c r="A28" s="38" t="inlineStr">
        <is>
          <t>Bryce Hubbart</t>
        </is>
      </c>
      <c r="B28" s="39" t="inlineStr">
        <is>
          <t>LHP</t>
        </is>
      </c>
      <c r="C28" s="39" t="inlineStr">
        <is>
          <t>Cincinnati Reds</t>
        </is>
      </c>
      <c r="D28" s="39" t="inlineStr">
        <is>
          <t>Low-A</t>
        </is>
      </c>
      <c r="E28" s="40" t="inlineStr">
        <is>
          <t>Daytona Tortugas</t>
        </is>
      </c>
      <c r="F28" s="39" t="n">
        <v>2022</v>
      </c>
      <c r="G28" s="39" t="n">
        <v>3</v>
      </c>
      <c r="H28" s="39" t="n">
        <v>94</v>
      </c>
      <c r="I28" s="39" t="n"/>
      <c r="J28" s="39" t="inlineStr">
        <is>
          <t>https://www.mlb.com/player/bryce-hubbart-687114</t>
        </is>
      </c>
      <c r="K28" s="41" t="inlineStr">
        <is>
          <t>Deceptive high-spin southpaw; working through Reds system</t>
        </is>
      </c>
    </row>
    <row r="29" ht="18" customHeight="1" s="89">
      <c r="A29" s="34" t="inlineStr">
        <is>
          <t>Carson Montgomery</t>
        </is>
      </c>
      <c r="B29" s="35" t="inlineStr">
        <is>
          <t>RHP</t>
        </is>
      </c>
      <c r="C29" s="35" t="inlineStr">
        <is>
          <t>San Diego Padres</t>
        </is>
      </c>
      <c r="D29" s="35" t="inlineStr">
        <is>
          <t>Low-A</t>
        </is>
      </c>
      <c r="E29" s="36" t="inlineStr">
        <is>
          <t>Fort Wayne TinCaps</t>
        </is>
      </c>
      <c r="F29" s="35" t="n">
        <v>2023</v>
      </c>
      <c r="G29" s="35" t="n">
        <v>11</v>
      </c>
      <c r="H29" s="35" t="n">
        <v>341</v>
      </c>
      <c r="I29" s="35" t="n"/>
      <c r="J29" s="35" t="inlineStr">
        <is>
          <t>https://www.mlb.com/player/carson-montgomery-691000</t>
        </is>
      </c>
      <c r="K29" s="37" t="inlineStr">
        <is>
          <t>97-98 mph FB, nasty slider; 2025 Arizona Fall League participant</t>
        </is>
      </c>
    </row>
    <row r="30" ht="18" customHeight="1" s="89">
      <c r="A30" s="81" t="inlineStr">
        <is>
          <t>Colton Vincent</t>
        </is>
      </c>
      <c r="B30" s="82" t="inlineStr">
        <is>
          <t>C/OF</t>
        </is>
      </c>
      <c r="C30" s="82" t="inlineStr">
        <is>
          <t>San Diego Padres</t>
        </is>
      </c>
      <c r="D30" s="82" t="inlineStr">
        <is>
          <t>AAA</t>
        </is>
      </c>
      <c r="E30" s="83" t="inlineStr">
        <is>
          <t>El Paso Chihuahuas</t>
        </is>
      </c>
      <c r="F30" s="82" t="n">
        <v>2023</v>
      </c>
      <c r="G30" s="82" t="inlineStr">
        <is>
          <t>UDFA</t>
        </is>
      </c>
      <c r="H30" s="82" t="inlineStr">
        <is>
          <t>—</t>
        </is>
      </c>
      <c r="I30" s="82" t="n"/>
      <c r="J30" s="82" t="inlineStr">
        <is>
          <t>https://www.mlb.com/player/colton-vincent-694294</t>
        </is>
      </c>
      <c r="K30" s="84" t="inlineStr">
        <is>
          <t>Undrafted free agent 2023; versatile C/OF/1B; .827 OPS in 40+ games at Peoria Low-A in 2025; in Lake Elsinore catching rotation for 2026</t>
        </is>
      </c>
    </row>
    <row r="31" ht="18" customHeight="1" s="89">
      <c r="A31" s="42" t="inlineStr">
        <is>
          <t>Max Williams</t>
        </is>
      </c>
      <c r="B31" s="43" t="inlineStr">
        <is>
          <t>OF</t>
        </is>
      </c>
      <c r="C31" s="43" t="inlineStr">
        <is>
          <t>Miami Marlins</t>
        </is>
      </c>
      <c r="D31" s="43" t="inlineStr">
        <is>
          <t>60-Day IL</t>
        </is>
      </c>
      <c r="E31" s="44" t="inlineStr">
        <is>
          <t>Jupiter Hammerheads</t>
        </is>
      </c>
      <c r="F31" s="43" t="n">
        <v>2025</v>
      </c>
      <c r="G31" s="43" t="n">
        <v>3</v>
      </c>
      <c r="H31" s="43" t="n">
        <v>78</v>
      </c>
      <c r="I31" s="43" t="n"/>
      <c r="J31" s="43" t="inlineStr">
        <is>
          <t>https://www.mlb.com/player/max-williams-703637</t>
        </is>
      </c>
      <c r="K31" s="45" t="inlineStr">
        <is>
          <t>.321/19HR/.990 OPS at FSU; hit .316 with 6HR in pro debut at Low-A Jupiter</t>
        </is>
      </c>
      <c r="L31" t="inlineStr">
        <is>
          <t>Low-A</t>
        </is>
      </c>
    </row>
    <row r="32" ht="18" customHeight="1" s="89">
      <c r="A32" s="46" t="inlineStr">
        <is>
          <t>Drew Faurot</t>
        </is>
      </c>
      <c r="B32" s="47" t="inlineStr">
        <is>
          <t>2B</t>
        </is>
      </c>
      <c r="C32" s="47" t="inlineStr">
        <is>
          <t>Miami Marlins</t>
        </is>
      </c>
      <c r="D32" s="47" t="inlineStr">
        <is>
          <t>7-Day IL</t>
        </is>
      </c>
      <c r="E32" s="48" t="inlineStr">
        <is>
          <t>Beloit Sky Carp</t>
        </is>
      </c>
      <c r="F32" s="47" t="n">
        <v>2025</v>
      </c>
      <c r="G32" s="47" t="n">
        <v>4</v>
      </c>
      <c r="H32" s="47" t="n">
        <v>108</v>
      </c>
      <c r="I32" s="47" t="n"/>
      <c r="J32" s="47" t="inlineStr">
        <is>
          <t>https://www.mlb.com/player/drew-faurot-702656</t>
        </is>
      </c>
      <c r="K32" s="49" t="inlineStr">
        <is>
          <t>Tallahassee native; .307/16HR/.952 OPS at FSU; 3-for-3 pro debut; 25% below slot signing</t>
        </is>
      </c>
      <c r="L32" t="inlineStr">
        <is>
          <t>High-A</t>
        </is>
      </c>
    </row>
    <row r="33" ht="18" customHeight="1" s="89">
      <c r="A33" s="42" t="inlineStr">
        <is>
          <t>Joey Volini</t>
        </is>
      </c>
      <c r="B33" s="43" t="inlineStr">
        <is>
          <t>LHP</t>
        </is>
      </c>
      <c r="C33" s="43" t="inlineStr">
        <is>
          <t>Miami Marlins</t>
        </is>
      </c>
      <c r="D33" s="43" t="inlineStr">
        <is>
          <t>High-A</t>
        </is>
      </c>
      <c r="E33" s="44" t="inlineStr">
        <is>
          <t>Beloit Sky Carp</t>
        </is>
      </c>
      <c r="F33" s="43" t="n">
        <v>2025</v>
      </c>
      <c r="G33" s="43" t="n">
        <v>6</v>
      </c>
      <c r="H33" s="43" t="n">
        <v>168</v>
      </c>
      <c r="I33" s="43" t="n"/>
      <c r="J33" s="43" t="inlineStr">
        <is>
          <t>https://www.mlb.com/player/joey-volini-804123</t>
        </is>
      </c>
      <c r="K33" s="45" t="inlineStr">
        <is>
          <t>Dick Howser National Pitcher of Month (March 2025); 8-5, 3.50 ERA, 105K at FSU; TJ survivor</t>
        </is>
      </c>
    </row>
    <row r="34" ht="18" customHeight="1" s="89">
      <c r="A34" s="46" t="inlineStr">
        <is>
          <t>Cam Leiter</t>
        </is>
      </c>
      <c r="B34" s="47" t="inlineStr">
        <is>
          <t>RHP</t>
        </is>
      </c>
      <c r="C34" s="47" t="inlineStr">
        <is>
          <t>Los Angeles Dodgers</t>
        </is>
      </c>
      <c r="D34" s="47" t="inlineStr">
        <is>
          <t>Low-A</t>
        </is>
      </c>
      <c r="E34" s="48" t="inlineStr">
        <is>
          <t>Ontario Tower Buzzers</t>
        </is>
      </c>
      <c r="F34" s="47" t="n">
        <v>2025</v>
      </c>
      <c r="G34" s="47" t="n">
        <v>2</v>
      </c>
      <c r="H34" s="47" t="n">
        <v>65</v>
      </c>
      <c r="I34" s="47" t="n"/>
      <c r="J34" s="47" t="inlineStr">
        <is>
          <t>https://www.mlb.com/player/cam-leiter-804942</t>
        </is>
      </c>
      <c r="K34" s="49" t="inlineStr">
        <is>
          <t>Dealing with injury post-draft; 2026 assignment TBD on recovery</t>
        </is>
      </c>
    </row>
    <row r="35" ht="18" customHeight="1" s="89">
      <c r="A35" s="42" t="inlineStr">
        <is>
          <t>Peyton Prescott</t>
        </is>
      </c>
      <c r="B35" s="43" t="inlineStr">
        <is>
          <t>RHP</t>
        </is>
      </c>
      <c r="C35" s="43" t="inlineStr">
        <is>
          <t>New York Mets</t>
        </is>
      </c>
      <c r="D35" s="43" t="inlineStr">
        <is>
          <t>60-Day IL</t>
        </is>
      </c>
      <c r="E35" s="44" t="inlineStr">
        <is>
          <t>ACL/AZL</t>
        </is>
      </c>
      <c r="F35" s="43" t="n">
        <v>2025</v>
      </c>
      <c r="G35" s="43" t="n">
        <v>5</v>
      </c>
      <c r="H35" s="43" t="n">
        <v>163</v>
      </c>
      <c r="I35" s="43" t="n"/>
      <c r="J35" s="43" t="inlineStr">
        <is>
          <t>https://www.mlb.com/player/peyton-prescott-807290</t>
        </is>
      </c>
      <c r="K35" s="45" t="inlineStr">
        <is>
          <t>Dealing with injury post-draft</t>
        </is>
      </c>
      <c r="L35" t="inlineStr">
        <is>
          <t>Rookie</t>
        </is>
      </c>
    </row>
    <row r="36" ht="14.4" customHeight="1" s="89">
      <c r="A36" s="46" t="inlineStr">
        <is>
          <t>Evan Chrest</t>
        </is>
      </c>
      <c r="B36" s="47" t="inlineStr">
        <is>
          <t>RHP</t>
        </is>
      </c>
      <c r="C36" s="47" t="inlineStr">
        <is>
          <t>Cleveland Guardians</t>
        </is>
      </c>
      <c r="D36" s="47" t="inlineStr">
        <is>
          <t>Rookie</t>
        </is>
      </c>
      <c r="E36" s="48" t="inlineStr">
        <is>
          <t>ACL/AZL</t>
        </is>
      </c>
      <c r="F36" s="47" t="n">
        <v>2025</v>
      </c>
      <c r="G36" s="47" t="n">
        <v>15</v>
      </c>
      <c r="H36" s="47" t="inlineStr">
        <is>
          <t>—</t>
        </is>
      </c>
      <c r="I36" s="47" t="n"/>
      <c r="J36" s="47" t="inlineStr">
        <is>
          <t>https://www.mlb.com/player/evan-chrest-805971</t>
        </is>
      </c>
      <c r="K36" s="49" t="inlineStr">
        <is>
          <t>2025 15th-round pick</t>
        </is>
      </c>
    </row>
    <row r="37" ht="14.4" customHeight="1" s="89">
      <c r="A37" s="42" t="inlineStr">
        <is>
          <t>Gage Harrelson</t>
        </is>
      </c>
      <c r="B37" s="43" t="inlineStr">
        <is>
          <t>OF</t>
        </is>
      </c>
      <c r="C37" s="43" t="inlineStr">
        <is>
          <t>Los Angeles Angels</t>
        </is>
      </c>
      <c r="D37" s="43" t="inlineStr">
        <is>
          <t>High-A</t>
        </is>
      </c>
      <c r="E37" s="44" t="inlineStr">
        <is>
          <t>Tri-City Dust Devils</t>
        </is>
      </c>
      <c r="F37" s="43" t="n">
        <v>2025</v>
      </c>
      <c r="G37" s="43" t="n">
        <v>16</v>
      </c>
      <c r="H37" s="43" t="n">
        <v>469</v>
      </c>
      <c r="I37" s="43" t="n"/>
      <c r="J37" s="43" t="inlineStr">
        <is>
          <t>https://www.mlb.com/player/gage-harrelson-702629</t>
        </is>
      </c>
      <c r="K37" s="45" t="inlineStr">
        <is>
          <t>.339/.444/.462, 15 SB at FSU; plus speed, projects as CF; signed $150K</t>
        </is>
      </c>
    </row>
    <row r="38" ht="14.4" customHeight="1" s="89">
      <c r="A38" s="46" t="inlineStr">
        <is>
          <t>Jaxson West</t>
        </is>
      </c>
      <c r="B38" s="47" t="inlineStr">
        <is>
          <t>C</t>
        </is>
      </c>
      <c r="C38" s="47" t="inlineStr">
        <is>
          <t>Toronto Blue Jays</t>
        </is>
      </c>
      <c r="D38" s="47" t="inlineStr">
        <is>
          <t>Low-A</t>
        </is>
      </c>
      <c r="E38" s="48" t="inlineStr">
        <is>
          <t>Dunedin Blue Jays</t>
        </is>
      </c>
      <c r="F38" s="47" t="n">
        <v>2025</v>
      </c>
      <c r="G38" s="47" t="n">
        <v>16</v>
      </c>
      <c r="H38" s="47" t="inlineStr">
        <is>
          <t>—</t>
        </is>
      </c>
      <c r="I38" s="47" t="n"/>
      <c r="J38" s="47" t="inlineStr">
        <is>
          <t>https://www.mlb.com/player/jaxson-west-702486</t>
        </is>
      </c>
      <c r="K38" s="49" t="inlineStr">
        <is>
          <t>2025 16th-round pick</t>
        </is>
      </c>
    </row>
    <row r="39" ht="24.6" customHeight="1" s="89">
      <c r="A39" s="42" t="inlineStr">
        <is>
          <t>Maison Martinez</t>
        </is>
      </c>
      <c r="B39" s="43" t="inlineStr">
        <is>
          <t>RHP</t>
        </is>
      </c>
      <c r="C39" s="43" t="inlineStr">
        <is>
          <t>Cincinnati Reds</t>
        </is>
      </c>
      <c r="D39" s="43" t="inlineStr">
        <is>
          <t>Full Season IL</t>
        </is>
      </c>
      <c r="E39" s="44" t="inlineStr">
        <is>
          <t>—</t>
        </is>
      </c>
      <c r="F39" s="43" t="n">
        <v>2025</v>
      </c>
      <c r="G39" s="43" t="n">
        <v>16</v>
      </c>
      <c r="H39" s="43" t="inlineStr">
        <is>
          <t>—</t>
        </is>
      </c>
      <c r="I39" s="43" t="n"/>
      <c r="J39" s="43" t="n"/>
      <c r="K39" s="45" t="inlineStr">
        <is>
          <t>2025 16th-round pick; out for full 2026 season (injury)</t>
        </is>
      </c>
      <c r="L39" t="inlineStr">
        <is>
          <t>Rookie</t>
        </is>
      </c>
    </row>
    <row r="40" ht="24.6" customHeight="1" s="89">
      <c r="A40" s="50" t="inlineStr">
        <is>
          <t>Robby Martin Jr.</t>
        </is>
      </c>
      <c r="B40" s="51" t="inlineStr">
        <is>
          <t>OF</t>
        </is>
      </c>
      <c r="C40" s="51" t="inlineStr">
        <is>
          <t>Kane County Cougars</t>
        </is>
      </c>
      <c r="D40" s="51" t="inlineStr">
        <is>
          <t>Independent</t>
        </is>
      </c>
      <c r="E40" s="52" t="inlineStr">
        <is>
          <t>Kane County Cougars</t>
        </is>
      </c>
      <c r="F40" s="51" t="n">
        <v>2021</v>
      </c>
      <c r="G40" s="51" t="inlineStr">
        <is>
          <t>—</t>
        </is>
      </c>
      <c r="H40" s="51" t="inlineStr">
        <is>
          <t>—</t>
        </is>
      </c>
      <c r="I40" s="51" t="n"/>
      <c r="J40" s="51" t="n"/>
      <c r="K40" s="53" t="inlineStr">
        <is>
          <t>Released by Rockies March 2025; .198/.265/.320, 6HR in 59G with Kane County (American Association)</t>
        </is>
      </c>
    </row>
    <row r="41" ht="36.9" customHeight="1" s="89">
      <c r="A41" s="54" t="inlineStr">
        <is>
          <t>Matheu Nelson</t>
        </is>
      </c>
      <c r="B41" s="55" t="inlineStr">
        <is>
          <t>C</t>
        </is>
      </c>
      <c r="C41" s="55" t="inlineStr">
        <is>
          <t>Lake Country DockHounds</t>
        </is>
      </c>
      <c r="D41" s="55" t="inlineStr">
        <is>
          <t>Independent</t>
        </is>
      </c>
      <c r="E41" s="56" t="inlineStr">
        <is>
          <t>Lake Country DockHounds</t>
        </is>
      </c>
      <c r="F41" s="55" t="n">
        <v>2021</v>
      </c>
      <c r="G41" s="55" t="inlineStr">
        <is>
          <t>CB-A</t>
        </is>
      </c>
      <c r="H41" s="55" t="n">
        <v>35</v>
      </c>
      <c r="I41" s="55" t="n"/>
      <c r="J41" s="55" t="n"/>
      <c r="K41" s="57" t="inlineStr">
        <is>
          <t>Former #35 overall pick (Reds); ACC POY at FSU; released by CIN July 2025 after .088 BA at Double-A</t>
        </is>
      </c>
    </row>
    <row r="42">
      <c r="A42" s="50" t="inlineStr">
        <is>
          <t>Drew Mendoza</t>
        </is>
      </c>
      <c r="B42" s="51" t="inlineStr">
        <is>
          <t>1B/3B</t>
        </is>
      </c>
      <c r="C42" s="51" t="inlineStr">
        <is>
          <t>High Point Rockers</t>
        </is>
      </c>
      <c r="D42" s="51" t="inlineStr">
        <is>
          <t>Independent</t>
        </is>
      </c>
      <c r="E42" s="52" t="inlineStr">
        <is>
          <t>High Point Rockers</t>
        </is>
      </c>
      <c r="F42" s="51" t="n">
        <v>2019</v>
      </c>
      <c r="G42" s="51" t="n">
        <v>3</v>
      </c>
      <c r="H42" s="51" t="n">
        <v>94</v>
      </c>
      <c r="I42" s="51" t="n"/>
      <c r="J42" s="51" t="n"/>
      <c r="K42" s="53" t="inlineStr">
        <is>
          <t>Former Nationals 3rd-round pick; 2023 ALPB batting champ (.346, York Revolution); named to 2025 ALPB All-Star team with High Point Rockers; 2026 status TBD</t>
        </is>
      </c>
    </row>
  </sheetData>
  <autoFilter ref="A1:K35"/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3" r:id="rId7"/>
    <hyperlink xmlns:r="http://schemas.openxmlformats.org/officeDocument/2006/relationships" ref="J14" r:id="rId8"/>
    <hyperlink xmlns:r="http://schemas.openxmlformats.org/officeDocument/2006/relationships" ref="J15" r:id="rId9"/>
    <hyperlink xmlns:r="http://schemas.openxmlformats.org/officeDocument/2006/relationships" ref="J16" r:id="rId10"/>
    <hyperlink xmlns:r="http://schemas.openxmlformats.org/officeDocument/2006/relationships" ref="J17" r:id="rId11"/>
    <hyperlink xmlns:r="http://schemas.openxmlformats.org/officeDocument/2006/relationships" ref="J20" r:id="rId12"/>
    <hyperlink xmlns:r="http://schemas.openxmlformats.org/officeDocument/2006/relationships" ref="J23" r:id="rId13"/>
    <hyperlink xmlns:r="http://schemas.openxmlformats.org/officeDocument/2006/relationships" ref="J24" r:id="rId14"/>
  </hyperlink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zoomScaleNormal="100" workbookViewId="0">
      <selection activeCell="A1" sqref="A1"/>
    </sheetView>
  </sheetViews>
  <sheetFormatPr baseColWidth="8" defaultColWidth="8.68359375" defaultRowHeight="15" customHeight="1"/>
  <cols>
    <col width="22" customWidth="1" style="89" min="1" max="1"/>
    <col width="16" customWidth="1" style="89" min="2" max="2"/>
    <col width="24" customWidth="1" style="89" min="3" max="3"/>
  </cols>
  <sheetData>
    <row r="1" ht="27.75" customHeight="1" s="89">
      <c r="A1" s="88" t="inlineStr">
        <is>
          <t>Noles in the Pros — Player Summary</t>
        </is>
      </c>
    </row>
    <row r="2" ht="15.75" customHeight="1" s="89">
      <c r="A2" s="91" t="inlineStr">
        <is>
          <t>Last Updated: March 2026</t>
        </is>
      </c>
    </row>
    <row r="3" ht="19.5" customHeight="1" s="89">
      <c r="A3" s="58" t="inlineStr">
        <is>
          <t>Level</t>
        </is>
      </c>
      <c r="B3" s="58" t="inlineStr">
        <is>
          <t># of Players</t>
        </is>
      </c>
      <c r="C3" s="58" t="inlineStr">
        <is>
          <t>% of Total</t>
        </is>
      </c>
    </row>
    <row r="4" ht="19.5" customHeight="1" s="89">
      <c r="A4" s="59" t="inlineStr">
        <is>
          <t>MLB (The Show)</t>
        </is>
      </c>
      <c r="B4" s="3">
        <f>COUNTIF(Roster!$D:$D,"MLB")</f>
        <v/>
      </c>
      <c r="C4" s="60">
        <f>IFERROR(B4/$B$11,0)</f>
        <v/>
      </c>
    </row>
    <row r="5" ht="19.5" customHeight="1" s="89">
      <c r="A5" s="61" t="inlineStr">
        <is>
          <t>Triple-A (AAA)</t>
        </is>
      </c>
      <c r="B5" s="11">
        <f>COUNTIF(Roster!$D:$D,"AAA")</f>
        <v/>
      </c>
      <c r="C5" s="62">
        <f>IFERROR(B5/$B$11,0)</f>
        <v/>
      </c>
    </row>
    <row r="6" ht="19.5" customHeight="1" s="89">
      <c r="A6" s="63" t="inlineStr">
        <is>
          <t>Double-A (AA)</t>
        </is>
      </c>
      <c r="B6" s="19">
        <f>COUNTIF(Roster!$D:$D,"AA")</f>
        <v/>
      </c>
      <c r="C6" s="64">
        <f>IFERROR(B6/$B$11,0)</f>
        <v/>
      </c>
    </row>
    <row r="7" ht="19.5" customHeight="1" s="89">
      <c r="A7" s="65" t="inlineStr">
        <is>
          <t>High-A</t>
        </is>
      </c>
      <c r="B7" s="27">
        <f>COUNTIF(Roster!$D:$D,"High-A")</f>
        <v/>
      </c>
      <c r="C7" s="66">
        <f>IFERROR(B7/$B$11,0)</f>
        <v/>
      </c>
    </row>
    <row r="8" ht="19.5" customHeight="1" s="89">
      <c r="A8" s="67" t="inlineStr">
        <is>
          <t>Low-A / Single-A</t>
        </is>
      </c>
      <c r="B8" s="35">
        <f>COUNTIF(Roster!$D:$D,"Low-A")</f>
        <v/>
      </c>
      <c r="C8" s="68">
        <f>IFERROR(B8/$B$11,0)</f>
        <v/>
      </c>
    </row>
    <row r="9" ht="19.5" customHeight="1" s="89">
      <c r="A9" s="69" t="inlineStr">
        <is>
          <t>Rookie / Complex</t>
        </is>
      </c>
      <c r="B9" s="43">
        <f>COUNTIF(Roster!$D:$D,"Rookie")</f>
        <v/>
      </c>
      <c r="C9" s="70">
        <f>IFERROR(B9/$B$11,0)</f>
        <v/>
      </c>
    </row>
    <row r="10" ht="19.5" customHeight="1" s="89">
      <c r="A10" s="71" t="inlineStr">
        <is>
          <t>Independent League</t>
        </is>
      </c>
      <c r="B10" s="51">
        <f>COUNTIF(Roster!$D:$D,"Independent")</f>
        <v/>
      </c>
      <c r="C10" s="72">
        <f>IFERROR(B10/$B$11,0)</f>
        <v/>
      </c>
    </row>
    <row r="11" ht="21.75" customHeight="1" s="89">
      <c r="A11" s="1" t="inlineStr">
        <is>
          <t>TOTAL</t>
        </is>
      </c>
      <c r="B11" s="1">
        <f>SUM(B4:B10)</f>
        <v/>
      </c>
      <c r="C11" s="1" t="inlineStr">
        <is>
          <t>100%</t>
        </is>
      </c>
    </row>
    <row r="13" ht="15" customHeight="1" s="89">
      <c r="A13" s="90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workbookViewId="0">
      <selection activeCell="A1" sqref="A1"/>
    </sheetView>
  </sheetViews>
  <sheetFormatPr baseColWidth="8" defaultRowHeight="15"/>
  <cols>
    <col width="22" customWidth="1" style="89" min="1" max="1"/>
    <col width="8" customWidth="1" style="89" min="2" max="2"/>
    <col width="28" customWidth="1" style="89" min="3" max="3"/>
    <col width="12" customWidth="1" style="89" min="4" max="4"/>
    <col width="8" customWidth="1" style="89" min="5" max="5"/>
    <col width="8" customWidth="1" style="89" min="6" max="6"/>
    <col width="8" customWidth="1" style="89" min="7" max="7"/>
    <col width="8" customWidth="1" style="89" min="8" max="8"/>
    <col width="8" customWidth="1" style="89" min="9" max="9"/>
    <col width="8" customWidth="1" style="89" min="10" max="10"/>
    <col width="8" customWidth="1" style="89" min="11" max="11"/>
    <col width="8" customWidth="1" style="89" min="12" max="12"/>
    <col width="8" customWidth="1" style="89" min="13" max="13"/>
    <col width="8" customWidth="1" style="89" min="14" max="14"/>
    <col width="18" customWidth="1" style="89" min="15" max="15"/>
  </cols>
  <sheetData>
    <row r="1">
      <c r="A1" s="104" t="inlineStr">
        <is>
          <t>⚾  HITTERS — 2026 Stats</t>
        </is>
      </c>
    </row>
    <row r="2">
      <c r="A2" s="105" t="inlineStr">
        <is>
          <t>Name</t>
        </is>
      </c>
      <c r="B2" s="105" t="inlineStr">
        <is>
          <t>Pos</t>
        </is>
      </c>
      <c r="C2" s="105" t="inlineStr">
        <is>
          <t>Team</t>
        </is>
      </c>
      <c r="D2" s="105" t="inlineStr">
        <is>
          <t>Level</t>
        </is>
      </c>
      <c r="E2" s="105" t="inlineStr">
        <is>
          <t>G</t>
        </is>
      </c>
      <c r="F2" s="105" t="inlineStr">
        <is>
          <t>AB</t>
        </is>
      </c>
      <c r="G2" s="105" t="inlineStr">
        <is>
          <t>AVG</t>
        </is>
      </c>
      <c r="H2" s="105" t="inlineStr">
        <is>
          <t>HR</t>
        </is>
      </c>
      <c r="I2" s="105" t="inlineStr">
        <is>
          <t>RBI</t>
        </is>
      </c>
      <c r="J2" s="105" t="inlineStr">
        <is>
          <t>R</t>
        </is>
      </c>
      <c r="K2" s="105" t="inlineStr">
        <is>
          <t>SB</t>
        </is>
      </c>
      <c r="L2" s="105" t="inlineStr">
        <is>
          <t>OBP</t>
        </is>
      </c>
      <c r="M2" s="105" t="inlineStr">
        <is>
          <t>SLG</t>
        </is>
      </c>
      <c r="N2" s="105" t="inlineStr">
        <is>
          <t>OPS</t>
        </is>
      </c>
      <c r="O2" s="105" t="inlineStr">
        <is>
          <t>Last Updated</t>
        </is>
      </c>
    </row>
    <row r="3">
      <c r="A3" s="86" t="inlineStr">
        <is>
          <t>Cal Raleigh</t>
        </is>
      </c>
      <c r="B3" s="86" t="inlineStr">
        <is>
          <t>C</t>
        </is>
      </c>
      <c r="C3" s="87" t="inlineStr">
        <is>
          <t>Seattle Mariners</t>
        </is>
      </c>
      <c r="D3" s="87" t="inlineStr">
        <is>
          <t>MLB</t>
        </is>
      </c>
      <c r="E3" s="87" t="inlineStr">
        <is>
          <t>27</t>
        </is>
      </c>
      <c r="F3" s="87" t="inlineStr">
        <is>
          <t>104</t>
        </is>
      </c>
      <c r="G3" s="87" t="inlineStr">
        <is>
          <t>.192</t>
        </is>
      </c>
      <c r="H3" s="87" t="inlineStr">
        <is>
          <t>5</t>
        </is>
      </c>
      <c r="I3" s="87" t="inlineStr">
        <is>
          <t>14</t>
        </is>
      </c>
      <c r="J3" s="87" t="inlineStr">
        <is>
          <t>10</t>
        </is>
      </c>
      <c r="K3" s="87" t="inlineStr">
        <is>
          <t>2</t>
        </is>
      </c>
      <c r="L3" s="87" t="inlineStr">
        <is>
          <t>.280</t>
        </is>
      </c>
      <c r="M3" s="87" t="inlineStr">
        <is>
          <t>.375</t>
        </is>
      </c>
      <c r="N3" s="87" t="inlineStr">
        <is>
          <t>.655</t>
        </is>
      </c>
      <c r="O3" s="87" t="inlineStr">
        <is>
          <t>04/25/2026 11:26</t>
        </is>
      </c>
    </row>
    <row r="4">
      <c r="A4" s="86" t="inlineStr">
        <is>
          <t>Cam Smith</t>
        </is>
      </c>
      <c r="B4" s="86" t="inlineStr">
        <is>
          <t>OF/3B</t>
        </is>
      </c>
      <c r="C4" s="87" t="inlineStr">
        <is>
          <t>Houston Astros</t>
        </is>
      </c>
      <c r="D4" s="87" t="inlineStr">
        <is>
          <t>MLB</t>
        </is>
      </c>
      <c r="E4" s="87" t="inlineStr">
        <is>
          <t>27</t>
        </is>
      </c>
      <c r="F4" s="87" t="inlineStr">
        <is>
          <t>91</t>
        </is>
      </c>
      <c r="G4" s="87" t="inlineStr">
        <is>
          <t>.231</t>
        </is>
      </c>
      <c r="H4" s="87" t="inlineStr">
        <is>
          <t>3</t>
        </is>
      </c>
      <c r="I4" s="87" t="inlineStr">
        <is>
          <t>12</t>
        </is>
      </c>
      <c r="J4" s="87" t="inlineStr">
        <is>
          <t>15</t>
        </is>
      </c>
      <c r="K4" s="87" t="inlineStr">
        <is>
          <t>4</t>
        </is>
      </c>
      <c r="L4" s="87" t="inlineStr">
        <is>
          <t>.321</t>
        </is>
      </c>
      <c r="M4" s="87" t="inlineStr">
        <is>
          <t>.385</t>
        </is>
      </c>
      <c r="N4" s="87" t="inlineStr">
        <is>
          <t>.706</t>
        </is>
      </c>
      <c r="O4" s="87" t="inlineStr">
        <is>
          <t>04/25/2026 11:26</t>
        </is>
      </c>
    </row>
    <row r="5">
      <c r="A5" s="86" t="inlineStr">
        <is>
          <t>Taylor Walls</t>
        </is>
      </c>
      <c r="B5" s="86" t="inlineStr">
        <is>
          <t>SS</t>
        </is>
      </c>
      <c r="C5" s="87" t="inlineStr">
        <is>
          <t>Tampa Bay Rays</t>
        </is>
      </c>
      <c r="D5" s="87" t="inlineStr">
        <is>
          <t>MLB</t>
        </is>
      </c>
      <c r="E5" s="87" t="inlineStr">
        <is>
          <t>15</t>
        </is>
      </c>
      <c r="F5" s="87" t="inlineStr">
        <is>
          <t>50</t>
        </is>
      </c>
      <c r="G5" s="87" t="inlineStr">
        <is>
          <t>.200</t>
        </is>
      </c>
      <c r="H5" s="87" t="inlineStr">
        <is>
          <t>0</t>
        </is>
      </c>
      <c r="I5" s="87" t="inlineStr">
        <is>
          <t>4</t>
        </is>
      </c>
      <c r="J5" s="87" t="inlineStr">
        <is>
          <t>8</t>
        </is>
      </c>
      <c r="K5" s="87" t="inlineStr">
        <is>
          <t>3</t>
        </is>
      </c>
      <c r="L5" s="87" t="inlineStr">
        <is>
          <t>.259</t>
        </is>
      </c>
      <c r="M5" s="87" t="inlineStr">
        <is>
          <t>.220</t>
        </is>
      </c>
      <c r="N5" s="87" t="inlineStr">
        <is>
          <t>.479</t>
        </is>
      </c>
      <c r="O5" s="87" t="inlineStr">
        <is>
          <t>04/25/2026 11:26</t>
        </is>
      </c>
    </row>
    <row r="6">
      <c r="A6" s="86" t="inlineStr">
        <is>
          <t>James Tibbs III</t>
        </is>
      </c>
      <c r="B6" s="86" t="inlineStr">
        <is>
          <t>OF</t>
        </is>
      </c>
      <c r="C6" s="87" t="inlineStr">
        <is>
          <t>Oklahoma City Comets</t>
        </is>
      </c>
      <c r="D6" s="87" t="inlineStr">
        <is>
          <t>AAA</t>
        </is>
      </c>
      <c r="E6" s="87" t="inlineStr">
        <is>
          <t>25</t>
        </is>
      </c>
      <c r="F6" s="87" t="inlineStr">
        <is>
          <t>98</t>
        </is>
      </c>
      <c r="G6" s="87" t="inlineStr">
        <is>
          <t>.286</t>
        </is>
      </c>
      <c r="H6" s="87" t="inlineStr">
        <is>
          <t>10</t>
        </is>
      </c>
      <c r="I6" s="87" t="inlineStr">
        <is>
          <t>22</t>
        </is>
      </c>
      <c r="J6" s="87" t="inlineStr">
        <is>
          <t>25</t>
        </is>
      </c>
      <c r="K6" s="87" t="inlineStr">
        <is>
          <t>0</t>
        </is>
      </c>
      <c r="L6" s="87" t="inlineStr">
        <is>
          <t>.388</t>
        </is>
      </c>
      <c r="M6" s="87" t="inlineStr">
        <is>
          <t>.684</t>
        </is>
      </c>
      <c r="N6" s="87" t="inlineStr">
        <is>
          <t>1.072</t>
        </is>
      </c>
      <c r="O6" s="87" t="inlineStr">
        <is>
          <t>04/25/2026 11:26</t>
        </is>
      </c>
    </row>
    <row r="7">
      <c r="A7" s="86" t="inlineStr">
        <is>
          <t>Colton Vincent</t>
        </is>
      </c>
      <c r="B7" s="86" t="inlineStr">
        <is>
          <t>C/OF</t>
        </is>
      </c>
      <c r="C7" s="87" t="inlineStr">
        <is>
          <t>El Paso Chihuahuas</t>
        </is>
      </c>
      <c r="D7" s="87" t="inlineStr">
        <is>
          <t>AAA</t>
        </is>
      </c>
      <c r="E7" s="87" t="inlineStr">
        <is>
          <t>1</t>
        </is>
      </c>
      <c r="F7" s="87" t="inlineStr">
        <is>
          <t>4</t>
        </is>
      </c>
      <c r="G7" s="87" t="inlineStr">
        <is>
          <t>.000</t>
        </is>
      </c>
      <c r="H7" s="87" t="inlineStr">
        <is>
          <t>0</t>
        </is>
      </c>
      <c r="I7" s="87" t="inlineStr">
        <is>
          <t>0</t>
        </is>
      </c>
      <c r="J7" s="87" t="inlineStr">
        <is>
          <t>0</t>
        </is>
      </c>
      <c r="K7" s="87" t="inlineStr">
        <is>
          <t>0</t>
        </is>
      </c>
      <c r="L7" s="87" t="inlineStr">
        <is>
          <t>.000</t>
        </is>
      </c>
      <c r="M7" s="87" t="inlineStr">
        <is>
          <t>.000</t>
        </is>
      </c>
      <c r="N7" s="87" t="inlineStr">
        <is>
          <t>.000</t>
        </is>
      </c>
      <c r="O7" s="87" t="inlineStr">
        <is>
          <t>04/25/2026 11:26</t>
        </is>
      </c>
    </row>
    <row r="8">
      <c r="A8" s="86" t="inlineStr">
        <is>
          <t>Marco Dinges</t>
        </is>
      </c>
      <c r="B8" s="86" t="inlineStr">
        <is>
          <t>C</t>
        </is>
      </c>
      <c r="C8" s="87" t="inlineStr">
        <is>
          <t>Wisconsin Timber Rattlers</t>
        </is>
      </c>
      <c r="D8" s="87" t="inlineStr">
        <is>
          <t>High-A</t>
        </is>
      </c>
      <c r="E8" s="87" t="inlineStr">
        <is>
          <t>15</t>
        </is>
      </c>
      <c r="F8" s="87" t="inlineStr">
        <is>
          <t>45</t>
        </is>
      </c>
      <c r="G8" s="87" t="inlineStr">
        <is>
          <t>.311</t>
        </is>
      </c>
      <c r="H8" s="87" t="inlineStr">
        <is>
          <t>3</t>
        </is>
      </c>
      <c r="I8" s="87" t="inlineStr">
        <is>
          <t>10</t>
        </is>
      </c>
      <c r="J8" s="87" t="inlineStr">
        <is>
          <t>14</t>
        </is>
      </c>
      <c r="K8" s="87" t="inlineStr">
        <is>
          <t>0</t>
        </is>
      </c>
      <c r="L8" s="87" t="inlineStr">
        <is>
          <t>.483</t>
        </is>
      </c>
      <c r="M8" s="87" t="inlineStr">
        <is>
          <t>.578</t>
        </is>
      </c>
      <c r="N8" s="87" t="inlineStr">
        <is>
          <t>1.061</t>
        </is>
      </c>
      <c r="O8" s="87" t="inlineStr">
        <is>
          <t>04/25/2026 11:26</t>
        </is>
      </c>
    </row>
    <row r="9">
      <c r="A9" s="86" t="inlineStr">
        <is>
          <t>Jaime Ferrer</t>
        </is>
      </c>
      <c r="B9" s="86" t="inlineStr">
        <is>
          <t>OF</t>
        </is>
      </c>
      <c r="C9" s="87" t="inlineStr">
        <is>
          <t>Cedar Rapids Kernels</t>
        </is>
      </c>
      <c r="D9" s="87" t="inlineStr">
        <is>
          <t>High-A</t>
        </is>
      </c>
      <c r="E9" s="87" t="inlineStr">
        <is>
          <t>18</t>
        </is>
      </c>
      <c r="F9" s="87" t="inlineStr">
        <is>
          <t>47</t>
        </is>
      </c>
      <c r="G9" s="87" t="inlineStr">
        <is>
          <t>.277</t>
        </is>
      </c>
      <c r="H9" s="87" t="inlineStr">
        <is>
          <t>2</t>
        </is>
      </c>
      <c r="I9" s="87" t="inlineStr">
        <is>
          <t>3</t>
        </is>
      </c>
      <c r="J9" s="87" t="inlineStr">
        <is>
          <t>12</t>
        </is>
      </c>
      <c r="K9" s="87" t="inlineStr">
        <is>
          <t>0</t>
        </is>
      </c>
      <c r="L9" s="87" t="inlineStr">
        <is>
          <t>.452</t>
        </is>
      </c>
      <c r="M9" s="87" t="inlineStr">
        <is>
          <t>.426</t>
        </is>
      </c>
      <c r="N9" s="87" t="inlineStr">
        <is>
          <t>.878</t>
        </is>
      </c>
      <c r="O9" s="87" t="inlineStr">
        <is>
          <t>04/25/2026 11:26</t>
        </is>
      </c>
    </row>
    <row r="10">
      <c r="A10" s="86" t="inlineStr">
        <is>
          <t>Gage Harrelson</t>
        </is>
      </c>
      <c r="B10" s="86" t="inlineStr">
        <is>
          <t>OF</t>
        </is>
      </c>
      <c r="C10" s="87" t="inlineStr">
        <is>
          <t>Tri-City Dust Devils</t>
        </is>
      </c>
      <c r="D10" s="87" t="inlineStr">
        <is>
          <t>High-A</t>
        </is>
      </c>
      <c r="E10" s="87" t="inlineStr">
        <is>
          <t>8</t>
        </is>
      </c>
      <c r="F10" s="87" t="inlineStr">
        <is>
          <t>18</t>
        </is>
      </c>
      <c r="G10" s="87" t="inlineStr">
        <is>
          <t>.278</t>
        </is>
      </c>
      <c r="H10" s="87" t="inlineStr">
        <is>
          <t>0</t>
        </is>
      </c>
      <c r="I10" s="87" t="inlineStr">
        <is>
          <t>3</t>
        </is>
      </c>
      <c r="J10" s="87" t="inlineStr">
        <is>
          <t>5</t>
        </is>
      </c>
      <c r="K10" s="87" t="inlineStr">
        <is>
          <t>0</t>
        </is>
      </c>
      <c r="L10" s="87" t="inlineStr">
        <is>
          <t>.480</t>
        </is>
      </c>
      <c r="M10" s="87" t="inlineStr">
        <is>
          <t>.333</t>
        </is>
      </c>
      <c r="N10" s="87" t="inlineStr">
        <is>
          <t>.813</t>
        </is>
      </c>
      <c r="O10" s="87" t="inlineStr">
        <is>
          <t>04/25/2026 11:26</t>
        </is>
      </c>
    </row>
    <row r="11">
      <c r="A11" s="86" t="inlineStr">
        <is>
          <t>Alex Lodise</t>
        </is>
      </c>
      <c r="B11" s="86" t="inlineStr">
        <is>
          <t>SS</t>
        </is>
      </c>
      <c r="C11" s="87" t="inlineStr">
        <is>
          <t>Augusta GreenJackets</t>
        </is>
      </c>
      <c r="D11" s="87" t="inlineStr">
        <is>
          <t>Low-A</t>
        </is>
      </c>
      <c r="E11" s="87" t="inlineStr">
        <is>
          <t>19</t>
        </is>
      </c>
      <c r="F11" s="87" t="inlineStr">
        <is>
          <t>82</t>
        </is>
      </c>
      <c r="G11" s="87" t="inlineStr">
        <is>
          <t>.280</t>
        </is>
      </c>
      <c r="H11" s="87" t="inlineStr">
        <is>
          <t>1</t>
        </is>
      </c>
      <c r="I11" s="87" t="inlineStr">
        <is>
          <t>8</t>
        </is>
      </c>
      <c r="J11" s="87" t="inlineStr">
        <is>
          <t>14</t>
        </is>
      </c>
      <c r="K11" s="87" t="inlineStr">
        <is>
          <t>3</t>
        </is>
      </c>
      <c r="L11" s="87" t="inlineStr">
        <is>
          <t>.359</t>
        </is>
      </c>
      <c r="M11" s="87" t="inlineStr">
        <is>
          <t>.390</t>
        </is>
      </c>
      <c r="N11" s="87" t="inlineStr">
        <is>
          <t>.749</t>
        </is>
      </c>
      <c r="O11" s="87" t="inlineStr">
        <is>
          <t>04/25/2026 11:26</t>
        </is>
      </c>
    </row>
    <row r="12">
      <c r="A12" s="86" t="inlineStr">
        <is>
          <t>Jaxson West</t>
        </is>
      </c>
      <c r="B12" s="86" t="inlineStr">
        <is>
          <t>C</t>
        </is>
      </c>
      <c r="C12" s="87" t="inlineStr">
        <is>
          <t>Dunedin Blue Jays</t>
        </is>
      </c>
      <c r="D12" s="87" t="inlineStr">
        <is>
          <t>Low-A</t>
        </is>
      </c>
      <c r="E12" s="87" t="inlineStr">
        <is>
          <t>8</t>
        </is>
      </c>
      <c r="F12" s="87" t="inlineStr">
        <is>
          <t>32</t>
        </is>
      </c>
      <c r="G12" s="87" t="inlineStr">
        <is>
          <t>.469</t>
        </is>
      </c>
      <c r="H12" s="87" t="inlineStr">
        <is>
          <t>1</t>
        </is>
      </c>
      <c r="I12" s="87" t="inlineStr">
        <is>
          <t>4</t>
        </is>
      </c>
      <c r="J12" s="87" t="inlineStr">
        <is>
          <t>8</t>
        </is>
      </c>
      <c r="K12" s="87" t="inlineStr">
        <is>
          <t>1</t>
        </is>
      </c>
      <c r="L12" s="87" t="inlineStr">
        <is>
          <t>.485</t>
        </is>
      </c>
      <c r="M12" s="87" t="inlineStr">
        <is>
          <t>.625</t>
        </is>
      </c>
      <c r="N12" s="87" t="inlineStr">
        <is>
          <t>1.110</t>
        </is>
      </c>
      <c r="O12" s="87" t="inlineStr">
        <is>
          <t>04/25/2026 11:26</t>
        </is>
      </c>
    </row>
    <row r="14">
      <c r="A14" s="104" t="inlineStr">
        <is>
          <t>🎯  PITCHERS — 2026 Stats</t>
        </is>
      </c>
    </row>
    <row r="15">
      <c r="A15" s="105" t="inlineStr">
        <is>
          <t>Name</t>
        </is>
      </c>
      <c r="B15" s="105" t="inlineStr">
        <is>
          <t>Pos</t>
        </is>
      </c>
      <c r="C15" s="105" t="inlineStr">
        <is>
          <t>Team</t>
        </is>
      </c>
      <c r="D15" s="105" t="inlineStr">
        <is>
          <t>Level</t>
        </is>
      </c>
      <c r="E15" s="105" t="inlineStr">
        <is>
          <t>G</t>
        </is>
      </c>
      <c r="F15" s="105" t="inlineStr">
        <is>
          <t>GS</t>
        </is>
      </c>
      <c r="G15" s="105" t="inlineStr">
        <is>
          <t>W</t>
        </is>
      </c>
      <c r="H15" s="105" t="inlineStr">
        <is>
          <t>L</t>
        </is>
      </c>
      <c r="I15" s="105" t="inlineStr">
        <is>
          <t>SV</t>
        </is>
      </c>
      <c r="J15" s="105" t="inlineStr">
        <is>
          <t>IP</t>
        </is>
      </c>
      <c r="K15" s="105" t="inlineStr">
        <is>
          <t>ERA</t>
        </is>
      </c>
      <c r="L15" s="105" t="inlineStr">
        <is>
          <t>WHIP</t>
        </is>
      </c>
      <c r="M15" s="105" t="inlineStr">
        <is>
          <t>K</t>
        </is>
      </c>
      <c r="N15" s="105" t="inlineStr">
        <is>
          <t>BB</t>
        </is>
      </c>
      <c r="O15" s="105" t="inlineStr">
        <is>
          <t>Last Updated</t>
        </is>
      </c>
    </row>
    <row r="16">
      <c r="A16" s="86" t="inlineStr">
        <is>
          <t>Luke Weaver</t>
        </is>
      </c>
      <c r="B16" s="86" t="inlineStr">
        <is>
          <t>RHP</t>
        </is>
      </c>
      <c r="C16" s="87" t="inlineStr">
        <is>
          <t>New York Mets</t>
        </is>
      </c>
      <c r="D16" s="87" t="inlineStr">
        <is>
          <t>MLB</t>
        </is>
      </c>
      <c r="E16" s="87" t="inlineStr">
        <is>
          <t>10</t>
        </is>
      </c>
      <c r="F16" s="87" t="inlineStr">
        <is>
          <t>0</t>
        </is>
      </c>
      <c r="G16" s="87" t="inlineStr">
        <is>
          <t>2</t>
        </is>
      </c>
      <c r="H16" s="87" t="inlineStr">
        <is>
          <t>0</t>
        </is>
      </c>
      <c r="I16" s="87" t="inlineStr">
        <is>
          <t>0</t>
        </is>
      </c>
      <c r="J16" s="87" t="inlineStr">
        <is>
          <t>10.0</t>
        </is>
      </c>
      <c r="K16" s="87" t="inlineStr">
        <is>
          <t>5.40</t>
        </is>
      </c>
      <c r="L16" s="87" t="inlineStr">
        <is>
          <t>1.10</t>
        </is>
      </c>
      <c r="M16" s="87" t="inlineStr">
        <is>
          <t>7</t>
        </is>
      </c>
      <c r="N16" s="87" t="inlineStr">
        <is>
          <t>4</t>
        </is>
      </c>
      <c r="O16" s="87" t="inlineStr">
        <is>
          <t>04/25/2026 11:26</t>
        </is>
      </c>
    </row>
    <row r="17">
      <c r="A17" s="86" t="inlineStr">
        <is>
          <t>Tyler Holton</t>
        </is>
      </c>
      <c r="B17" s="86" t="inlineStr">
        <is>
          <t>LHP</t>
        </is>
      </c>
      <c r="C17" s="87" t="inlineStr">
        <is>
          <t>Detroit Tigers</t>
        </is>
      </c>
      <c r="D17" s="87" t="inlineStr">
        <is>
          <t>MLB</t>
        </is>
      </c>
      <c r="E17" s="87" t="inlineStr">
        <is>
          <t>11</t>
        </is>
      </c>
      <c r="F17" s="87" t="inlineStr">
        <is>
          <t>0</t>
        </is>
      </c>
      <c r="G17" s="87" t="inlineStr">
        <is>
          <t>0</t>
        </is>
      </c>
      <c r="H17" s="87" t="inlineStr">
        <is>
          <t>1</t>
        </is>
      </c>
      <c r="I17" s="87" t="inlineStr">
        <is>
          <t>0</t>
        </is>
      </c>
      <c r="J17" s="87" t="inlineStr">
        <is>
          <t>11.0</t>
        </is>
      </c>
      <c r="K17" s="87" t="inlineStr">
        <is>
          <t>3.27</t>
        </is>
      </c>
      <c r="L17" s="87" t="inlineStr">
        <is>
          <t>1.64</t>
        </is>
      </c>
      <c r="M17" s="87" t="inlineStr">
        <is>
          <t>8</t>
        </is>
      </c>
      <c r="N17" s="87" t="inlineStr">
        <is>
          <t>7</t>
        </is>
      </c>
      <c r="O17" s="87" t="inlineStr">
        <is>
          <t>04/25/2026 11:26</t>
        </is>
      </c>
    </row>
    <row r="18">
      <c r="A18" s="86" t="inlineStr">
        <is>
          <t>Parker Messick</t>
        </is>
      </c>
      <c r="B18" s="86" t="inlineStr">
        <is>
          <t>LHP</t>
        </is>
      </c>
      <c r="C18" s="87" t="inlineStr">
        <is>
          <t>Cleveland Guardians</t>
        </is>
      </c>
      <c r="D18" s="87" t="inlineStr">
        <is>
          <t>MLB</t>
        </is>
      </c>
      <c r="E18" s="87" t="inlineStr">
        <is>
          <t>5</t>
        </is>
      </c>
      <c r="F18" s="87" t="inlineStr">
        <is>
          <t>5</t>
        </is>
      </c>
      <c r="G18" s="87" t="inlineStr">
        <is>
          <t>3</t>
        </is>
      </c>
      <c r="H18" s="87" t="inlineStr">
        <is>
          <t>0</t>
        </is>
      </c>
      <c r="I18" s="87" t="inlineStr">
        <is>
          <t>0</t>
        </is>
      </c>
      <c r="J18" s="87" t="inlineStr">
        <is>
          <t>30.2</t>
        </is>
      </c>
      <c r="K18" s="87" t="inlineStr">
        <is>
          <t>1.76</t>
        </is>
      </c>
      <c r="L18" s="87" t="inlineStr">
        <is>
          <t>0.88</t>
        </is>
      </c>
      <c r="M18" s="87" t="inlineStr">
        <is>
          <t>29</t>
        </is>
      </c>
      <c r="N18" s="87" t="inlineStr">
        <is>
          <t>8</t>
        </is>
      </c>
      <c r="O18" s="87" t="inlineStr">
        <is>
          <t>04/25/2026 11:26</t>
        </is>
      </c>
    </row>
    <row r="19">
      <c r="A19" s="86" t="inlineStr">
        <is>
          <t>Cole Sands</t>
        </is>
      </c>
      <c r="B19" s="86" t="inlineStr">
        <is>
          <t>RHP</t>
        </is>
      </c>
      <c r="C19" s="87" t="inlineStr">
        <is>
          <t>Minnesota Twins</t>
        </is>
      </c>
      <c r="D19" s="87" t="inlineStr">
        <is>
          <t>MLB</t>
        </is>
      </c>
      <c r="E19" s="87" t="inlineStr">
        <is>
          <t>10</t>
        </is>
      </c>
      <c r="F19" s="87" t="inlineStr">
        <is>
          <t>0</t>
        </is>
      </c>
      <c r="G19" s="87" t="inlineStr">
        <is>
          <t>1</t>
        </is>
      </c>
      <c r="H19" s="87" t="inlineStr">
        <is>
          <t>1</t>
        </is>
      </c>
      <c r="I19" s="87" t="inlineStr">
        <is>
          <t>1</t>
        </is>
      </c>
      <c r="J19" s="87" t="inlineStr">
        <is>
          <t>10.1</t>
        </is>
      </c>
      <c r="K19" s="87" t="inlineStr">
        <is>
          <t>3.48</t>
        </is>
      </c>
      <c r="L19" s="87" t="inlineStr">
        <is>
          <t>1.26</t>
        </is>
      </c>
      <c r="M19" s="87" t="inlineStr">
        <is>
          <t>10</t>
        </is>
      </c>
      <c r="N19" s="87" t="inlineStr">
        <is>
          <t>4</t>
        </is>
      </c>
      <c r="O19" s="87" t="inlineStr">
        <is>
          <t>04/25/2026 11:26</t>
        </is>
      </c>
    </row>
    <row r="20">
      <c r="A20" s="86" t="inlineStr">
        <is>
          <t>Shane Drohan</t>
        </is>
      </c>
      <c r="B20" s="86" t="inlineStr">
        <is>
          <t>LHP</t>
        </is>
      </c>
      <c r="C20" s="87" t="inlineStr">
        <is>
          <t>Milwaukee Brewers</t>
        </is>
      </c>
      <c r="D20" s="87" t="inlineStr">
        <is>
          <t>MLB</t>
        </is>
      </c>
      <c r="E20" s="87" t="inlineStr">
        <is>
          <t>2</t>
        </is>
      </c>
      <c r="F20" s="87" t="inlineStr">
        <is>
          <t>1</t>
        </is>
      </c>
      <c r="G20" s="87" t="inlineStr">
        <is>
          <t>0</t>
        </is>
      </c>
      <c r="H20" s="87" t="inlineStr">
        <is>
          <t>1</t>
        </is>
      </c>
      <c r="I20" s="87" t="inlineStr">
        <is>
          <t>0</t>
        </is>
      </c>
      <c r="J20" s="87" t="inlineStr">
        <is>
          <t>6.2</t>
        </is>
      </c>
      <c r="K20" s="87" t="inlineStr">
        <is>
          <t>5.40</t>
        </is>
      </c>
      <c r="L20" s="87" t="inlineStr">
        <is>
          <t>1.80</t>
        </is>
      </c>
      <c r="M20" s="87" t="inlineStr">
        <is>
          <t>4</t>
        </is>
      </c>
      <c r="N20" s="87" t="inlineStr">
        <is>
          <t>5</t>
        </is>
      </c>
      <c r="O20" s="87" t="inlineStr">
        <is>
          <t>04/25/2026 11:26</t>
        </is>
      </c>
    </row>
    <row r="21">
      <c r="A21" s="86" t="inlineStr">
        <is>
          <t>Jack Anderson</t>
        </is>
      </c>
      <c r="B21" s="86" t="inlineStr">
        <is>
          <t>RHP</t>
        </is>
      </c>
      <c r="C21" s="87" t="inlineStr">
        <is>
          <t>Boston Red Sox</t>
        </is>
      </c>
      <c r="D21" s="87" t="inlineStr">
        <is>
          <t>MLB</t>
        </is>
      </c>
      <c r="E21" s="87" t="inlineStr">
        <is>
          <t>3</t>
        </is>
      </c>
      <c r="F21" s="87" t="inlineStr">
        <is>
          <t>0</t>
        </is>
      </c>
      <c r="G21" s="87" t="inlineStr">
        <is>
          <t>0</t>
        </is>
      </c>
      <c r="H21" s="87" t="inlineStr">
        <is>
          <t>0</t>
        </is>
      </c>
      <c r="I21" s="87" t="inlineStr">
        <is>
          <t>0</t>
        </is>
      </c>
      <c r="J21" s="87" t="inlineStr">
        <is>
          <t>8.0</t>
        </is>
      </c>
      <c r="K21" s="87" t="inlineStr">
        <is>
          <t>3.38</t>
        </is>
      </c>
      <c r="L21" s="87" t="inlineStr">
        <is>
          <t>1.25</t>
        </is>
      </c>
      <c r="M21" s="87" t="inlineStr">
        <is>
          <t>6</t>
        </is>
      </c>
      <c r="N21" s="87" t="inlineStr">
        <is>
          <t>2</t>
        </is>
      </c>
      <c r="O21" s="87" t="inlineStr">
        <is>
          <t>04/25/2026 11:26</t>
        </is>
      </c>
    </row>
    <row r="22">
      <c r="A22" s="86" t="inlineStr">
        <is>
          <t>CJ Van Eyk</t>
        </is>
      </c>
      <c r="B22" s="86" t="inlineStr">
        <is>
          <t>RHP</t>
        </is>
      </c>
      <c r="C22" s="87" t="inlineStr">
        <is>
          <t>Buffalo Bisons</t>
        </is>
      </c>
      <c r="D22" s="87" t="inlineStr">
        <is>
          <t>AAA</t>
        </is>
      </c>
      <c r="E22" s="87" t="inlineStr">
        <is>
          <t>4</t>
        </is>
      </c>
      <c r="F22" s="87" t="inlineStr">
        <is>
          <t>4</t>
        </is>
      </c>
      <c r="G22" s="87" t="inlineStr">
        <is>
          <t>1</t>
        </is>
      </c>
      <c r="H22" s="87" t="inlineStr">
        <is>
          <t>1</t>
        </is>
      </c>
      <c r="I22" s="87" t="inlineStr">
        <is>
          <t>0</t>
        </is>
      </c>
      <c r="J22" s="87" t="inlineStr">
        <is>
          <t>18.1</t>
        </is>
      </c>
      <c r="K22" s="87" t="inlineStr">
        <is>
          <t>3.44</t>
        </is>
      </c>
      <c r="L22" s="87" t="inlineStr">
        <is>
          <t>1.42</t>
        </is>
      </c>
      <c r="M22" s="87" t="inlineStr">
        <is>
          <t>13</t>
        </is>
      </c>
      <c r="N22" s="87" t="inlineStr">
        <is>
          <t>5</t>
        </is>
      </c>
      <c r="O22" s="87" t="inlineStr">
        <is>
          <t>04/25/2026 11:26</t>
        </is>
      </c>
    </row>
    <row r="23">
      <c r="A23" s="86" t="inlineStr">
        <is>
          <t>Brandon Leibrandt</t>
        </is>
      </c>
      <c r="B23" s="86" t="inlineStr">
        <is>
          <t>LHP</t>
        </is>
      </c>
      <c r="C23" s="87" t="inlineStr">
        <is>
          <t>Louisville Bats</t>
        </is>
      </c>
      <c r="D23" s="87" t="inlineStr">
        <is>
          <t>AAA</t>
        </is>
      </c>
      <c r="E23" s="87" t="inlineStr">
        <is>
          <t>5</t>
        </is>
      </c>
      <c r="F23" s="87" t="inlineStr">
        <is>
          <t>5</t>
        </is>
      </c>
      <c r="G23" s="87" t="inlineStr">
        <is>
          <t>0</t>
        </is>
      </c>
      <c r="H23" s="87" t="inlineStr">
        <is>
          <t>2</t>
        </is>
      </c>
      <c r="I23" s="87" t="inlineStr">
        <is>
          <t>0</t>
        </is>
      </c>
      <c r="J23" s="87" t="inlineStr">
        <is>
          <t>22.1</t>
        </is>
      </c>
      <c r="K23" s="87" t="inlineStr">
        <is>
          <t>4.84</t>
        </is>
      </c>
      <c r="L23" s="87" t="inlineStr">
        <is>
          <t>1.75</t>
        </is>
      </c>
      <c r="M23" s="87" t="inlineStr">
        <is>
          <t>21</t>
        </is>
      </c>
      <c r="N23" s="87" t="inlineStr">
        <is>
          <t>7</t>
        </is>
      </c>
      <c r="O23" s="87" t="inlineStr">
        <is>
          <t>04/25/2026 11:26</t>
        </is>
      </c>
    </row>
    <row r="24">
      <c r="A24" s="86" t="inlineStr">
        <is>
          <t>Jamie Arnold</t>
        </is>
      </c>
      <c r="B24" s="86" t="inlineStr">
        <is>
          <t>LHP</t>
        </is>
      </c>
      <c r="C24" s="87" t="inlineStr">
        <is>
          <t>Midland RockHounds</t>
        </is>
      </c>
      <c r="D24" s="87" t="inlineStr">
        <is>
          <t>AA</t>
        </is>
      </c>
      <c r="E24" s="87" t="inlineStr">
        <is>
          <t>4</t>
        </is>
      </c>
      <c r="F24" s="87" t="inlineStr">
        <is>
          <t>4</t>
        </is>
      </c>
      <c r="G24" s="87" t="inlineStr">
        <is>
          <t>0</t>
        </is>
      </c>
      <c r="H24" s="87" t="inlineStr">
        <is>
          <t>0</t>
        </is>
      </c>
      <c r="I24" s="87" t="inlineStr">
        <is>
          <t>0</t>
        </is>
      </c>
      <c r="J24" s="87" t="inlineStr">
        <is>
          <t>17.2</t>
        </is>
      </c>
      <c r="K24" s="87" t="inlineStr">
        <is>
          <t>2.55</t>
        </is>
      </c>
      <c r="L24" s="87" t="inlineStr">
        <is>
          <t>1.36</t>
        </is>
      </c>
      <c r="M24" s="87" t="inlineStr">
        <is>
          <t>27</t>
        </is>
      </c>
      <c r="N24" s="87" t="inlineStr">
        <is>
          <t>6</t>
        </is>
      </c>
      <c r="O24" s="87" t="inlineStr">
        <is>
          <t>04/25/2026 11:26</t>
        </is>
      </c>
    </row>
    <row r="25">
      <c r="A25" s="86" t="inlineStr">
        <is>
          <t>Jackson Baumeister</t>
        </is>
      </c>
      <c r="B25" s="86" t="inlineStr">
        <is>
          <t>RHP</t>
        </is>
      </c>
      <c r="C25" s="87" t="inlineStr">
        <is>
          <t>Montgomery Biscuits</t>
        </is>
      </c>
      <c r="D25" s="87" t="inlineStr">
        <is>
          <t>AA</t>
        </is>
      </c>
      <c r="E25" s="87" t="inlineStr">
        <is>
          <t>4</t>
        </is>
      </c>
      <c r="F25" s="87" t="inlineStr">
        <is>
          <t>4</t>
        </is>
      </c>
      <c r="G25" s="87" t="inlineStr">
        <is>
          <t>0</t>
        </is>
      </c>
      <c r="H25" s="87" t="inlineStr">
        <is>
          <t>1</t>
        </is>
      </c>
      <c r="I25" s="87" t="inlineStr">
        <is>
          <t>0</t>
        </is>
      </c>
      <c r="J25" s="87" t="inlineStr">
        <is>
          <t>18.2</t>
        </is>
      </c>
      <c r="K25" s="87" t="inlineStr">
        <is>
          <t>6.27</t>
        </is>
      </c>
      <c r="L25" s="87" t="inlineStr">
        <is>
          <t>1.29</t>
        </is>
      </c>
      <c r="M25" s="87" t="inlineStr">
        <is>
          <t>15</t>
        </is>
      </c>
      <c r="N25" s="87" t="inlineStr">
        <is>
          <t>8</t>
        </is>
      </c>
      <c r="O25" s="87" t="inlineStr">
        <is>
          <t>04/25/2026 11:26</t>
        </is>
      </c>
    </row>
    <row r="26">
      <c r="A26" s="86" t="inlineStr">
        <is>
          <t>Wyatt Crowell</t>
        </is>
      </c>
      <c r="B26" s="86" t="inlineStr">
        <is>
          <t>LHP</t>
        </is>
      </c>
      <c r="C26" s="87" t="inlineStr">
        <is>
          <t>Tulsa Drillers</t>
        </is>
      </c>
      <c r="D26" s="87" t="inlineStr">
        <is>
          <t>AA</t>
        </is>
      </c>
      <c r="E26" s="87" t="inlineStr">
        <is>
          <t>3</t>
        </is>
      </c>
      <c r="F26" s="87" t="inlineStr">
        <is>
          <t>2</t>
        </is>
      </c>
      <c r="G26" s="87" t="inlineStr">
        <is>
          <t>1</t>
        </is>
      </c>
      <c r="H26" s="87" t="inlineStr">
        <is>
          <t>1</t>
        </is>
      </c>
      <c r="I26" s="87" t="inlineStr">
        <is>
          <t>1</t>
        </is>
      </c>
      <c r="J26" s="87" t="inlineStr">
        <is>
          <t>10.0</t>
        </is>
      </c>
      <c r="K26" s="87" t="inlineStr">
        <is>
          <t>3.60</t>
        </is>
      </c>
      <c r="L26" s="87" t="inlineStr">
        <is>
          <t>1.90</t>
        </is>
      </c>
      <c r="M26" s="87" t="inlineStr">
        <is>
          <t>11</t>
        </is>
      </c>
      <c r="N26" s="87" t="inlineStr">
        <is>
          <t>8</t>
        </is>
      </c>
      <c r="O26" s="87" t="inlineStr">
        <is>
          <t>04/25/2026 11:26</t>
        </is>
      </c>
    </row>
    <row r="27">
      <c r="A27" s="86" t="inlineStr">
        <is>
          <t>Carson Dorsey</t>
        </is>
      </c>
      <c r="B27" s="86" t="inlineStr">
        <is>
          <t>LHP</t>
        </is>
      </c>
      <c r="C27" s="87" t="inlineStr">
        <is>
          <t>Aberdeen IronBirds</t>
        </is>
      </c>
      <c r="D27" s="87" t="inlineStr">
        <is>
          <t>High-A</t>
        </is>
      </c>
      <c r="E27" s="87" t="inlineStr">
        <is>
          <t>3</t>
        </is>
      </c>
      <c r="F27" s="87" t="inlineStr">
        <is>
          <t>3</t>
        </is>
      </c>
      <c r="G27" s="87" t="inlineStr">
        <is>
          <t>0</t>
        </is>
      </c>
      <c r="H27" s="87" t="inlineStr">
        <is>
          <t>2</t>
        </is>
      </c>
      <c r="I27" s="87" t="inlineStr">
        <is>
          <t>0</t>
        </is>
      </c>
      <c r="J27" s="87" t="inlineStr">
        <is>
          <t>12.2</t>
        </is>
      </c>
      <c r="K27" s="87" t="inlineStr">
        <is>
          <t>8.53</t>
        </is>
      </c>
      <c r="L27" s="87" t="inlineStr">
        <is>
          <t>2.05</t>
        </is>
      </c>
      <c r="M27" s="87" t="inlineStr">
        <is>
          <t>12</t>
        </is>
      </c>
      <c r="N27" s="87" t="inlineStr">
        <is>
          <t>10</t>
        </is>
      </c>
      <c r="O27" s="87" t="inlineStr">
        <is>
          <t>04/25/2026 11:26</t>
        </is>
      </c>
    </row>
    <row r="28">
      <c r="A28" s="86" t="inlineStr">
        <is>
          <t>Joe Charles</t>
        </is>
      </c>
      <c r="B28" s="86" t="inlineStr">
        <is>
          <t>RHP</t>
        </is>
      </c>
      <c r="C28" s="87" t="inlineStr">
        <is>
          <t>Brooklyn Cyclones</t>
        </is>
      </c>
      <c r="D28" s="87" t="inlineStr">
        <is>
          <t>High-A</t>
        </is>
      </c>
      <c r="E28" s="87" t="inlineStr">
        <is>
          <t>2</t>
        </is>
      </c>
      <c r="F28" s="87" t="inlineStr">
        <is>
          <t>0</t>
        </is>
      </c>
      <c r="G28" s="87" t="inlineStr">
        <is>
          <t>0</t>
        </is>
      </c>
      <c r="H28" s="87" t="inlineStr">
        <is>
          <t>0</t>
        </is>
      </c>
      <c r="I28" s="87" t="inlineStr">
        <is>
          <t>0</t>
        </is>
      </c>
      <c r="J28" s="87" t="inlineStr">
        <is>
          <t>3.0</t>
        </is>
      </c>
      <c r="K28" s="87" t="inlineStr">
        <is>
          <t>6.00</t>
        </is>
      </c>
      <c r="L28" s="87" t="inlineStr">
        <is>
          <t>1.33</t>
        </is>
      </c>
      <c r="M28" s="87" t="inlineStr">
        <is>
          <t>7</t>
        </is>
      </c>
      <c r="N28" s="87" t="inlineStr">
        <is>
          <t>3</t>
        </is>
      </c>
      <c r="O28" s="87" t="inlineStr">
        <is>
          <t>04/25/2026 11:26</t>
        </is>
      </c>
    </row>
    <row r="29">
      <c r="A29" s="86" t="inlineStr">
        <is>
          <t>Joey Volini</t>
        </is>
      </c>
      <c r="B29" s="86" t="inlineStr">
        <is>
          <t>LHP</t>
        </is>
      </c>
      <c r="C29" s="87" t="inlineStr">
        <is>
          <t>Beloit Sky Carp</t>
        </is>
      </c>
      <c r="D29" s="87" t="inlineStr">
        <is>
          <t>High-A</t>
        </is>
      </c>
      <c r="E29" s="87" t="inlineStr">
        <is>
          <t>2</t>
        </is>
      </c>
      <c r="F29" s="87" t="inlineStr">
        <is>
          <t>1</t>
        </is>
      </c>
      <c r="G29" s="87" t="inlineStr">
        <is>
          <t>0</t>
        </is>
      </c>
      <c r="H29" s="87" t="inlineStr">
        <is>
          <t>0</t>
        </is>
      </c>
      <c r="I29" s="87" t="inlineStr">
        <is>
          <t>0</t>
        </is>
      </c>
      <c r="J29" s="87" t="inlineStr">
        <is>
          <t>4.0</t>
        </is>
      </c>
      <c r="K29" s="87" t="inlineStr">
        <is>
          <t>2.25</t>
        </is>
      </c>
      <c r="L29" s="87" t="inlineStr">
        <is>
          <t>0.75</t>
        </is>
      </c>
      <c r="M29" s="87" t="inlineStr">
        <is>
          <t>9</t>
        </is>
      </c>
      <c r="N29" s="87" t="inlineStr">
        <is>
          <t>3</t>
        </is>
      </c>
      <c r="O29" s="87" t="inlineStr">
        <is>
          <t>04/25/2026 11:26</t>
        </is>
      </c>
    </row>
    <row r="30">
      <c r="A30" s="86" t="inlineStr">
        <is>
          <t>Gavin Adams</t>
        </is>
      </c>
      <c r="B30" s="86" t="inlineStr">
        <is>
          <t>RHP</t>
        </is>
      </c>
      <c r="C30" s="87" t="inlineStr">
        <is>
          <t>Bradenton Marauders</t>
        </is>
      </c>
      <c r="D30" s="87" t="inlineStr">
        <is>
          <t>Low-A</t>
        </is>
      </c>
      <c r="E30" s="87" t="inlineStr">
        <is>
          <t>6</t>
        </is>
      </c>
      <c r="F30" s="87" t="inlineStr">
        <is>
          <t>0</t>
        </is>
      </c>
      <c r="G30" s="87" t="inlineStr">
        <is>
          <t>0</t>
        </is>
      </c>
      <c r="H30" s="87" t="inlineStr">
        <is>
          <t>2</t>
        </is>
      </c>
      <c r="I30" s="87" t="inlineStr">
        <is>
          <t>0</t>
        </is>
      </c>
      <c r="J30" s="87" t="inlineStr">
        <is>
          <t>7.1</t>
        </is>
      </c>
      <c r="K30" s="87" t="inlineStr">
        <is>
          <t>7.36</t>
        </is>
      </c>
      <c r="L30" s="87" t="inlineStr">
        <is>
          <t>2.18</t>
        </is>
      </c>
      <c r="M30" s="87" t="inlineStr">
        <is>
          <t>9</t>
        </is>
      </c>
      <c r="N30" s="87" t="inlineStr">
        <is>
          <t>9</t>
        </is>
      </c>
      <c r="O30" s="87" t="inlineStr">
        <is>
          <t>04/25/2026 11:26</t>
        </is>
      </c>
    </row>
    <row r="31">
      <c r="A31" s="86" t="inlineStr">
        <is>
          <t>Bryce Hubbart</t>
        </is>
      </c>
      <c r="B31" s="86" t="inlineStr">
        <is>
          <t>LHP</t>
        </is>
      </c>
      <c r="C31" s="87" t="inlineStr">
        <is>
          <t>Daytona Tortugas</t>
        </is>
      </c>
      <c r="D31" s="87" t="inlineStr">
        <is>
          <t>Low-A</t>
        </is>
      </c>
      <c r="E31" s="87" t="inlineStr">
        <is>
          <t>2</t>
        </is>
      </c>
      <c r="F31" s="87" t="inlineStr">
        <is>
          <t>0</t>
        </is>
      </c>
      <c r="G31" s="87" t="inlineStr">
        <is>
          <t>0</t>
        </is>
      </c>
      <c r="H31" s="87" t="inlineStr">
        <is>
          <t>0</t>
        </is>
      </c>
      <c r="I31" s="87" t="inlineStr">
        <is>
          <t>0</t>
        </is>
      </c>
      <c r="J31" s="87" t="inlineStr">
        <is>
          <t>4.0</t>
        </is>
      </c>
      <c r="K31" s="87" t="inlineStr">
        <is>
          <t>6.75</t>
        </is>
      </c>
      <c r="L31" s="87" t="inlineStr">
        <is>
          <t>1.25</t>
        </is>
      </c>
      <c r="M31" s="87" t="inlineStr">
        <is>
          <t>3</t>
        </is>
      </c>
      <c r="N31" s="87" t="inlineStr">
        <is>
          <t>1</t>
        </is>
      </c>
      <c r="O31" s="87" t="inlineStr">
        <is>
          <t>04/25/2026 11:26</t>
        </is>
      </c>
    </row>
    <row r="32">
      <c r="A32" s="86" t="inlineStr">
        <is>
          <t>Cam Leiter</t>
        </is>
      </c>
      <c r="B32" s="86" t="inlineStr">
        <is>
          <t>RHP</t>
        </is>
      </c>
      <c r="C32" s="87" t="inlineStr">
        <is>
          <t>Ontario Tower Buzzers</t>
        </is>
      </c>
      <c r="D32" s="87" t="inlineStr">
        <is>
          <t>Low-A</t>
        </is>
      </c>
      <c r="E32" s="87" t="inlineStr">
        <is>
          <t>3</t>
        </is>
      </c>
      <c r="F32" s="87" t="inlineStr">
        <is>
          <t>3</t>
        </is>
      </c>
      <c r="G32" s="87" t="inlineStr">
        <is>
          <t>0</t>
        </is>
      </c>
      <c r="H32" s="87" t="inlineStr">
        <is>
          <t>0</t>
        </is>
      </c>
      <c r="I32" s="87" t="inlineStr">
        <is>
          <t>0</t>
        </is>
      </c>
      <c r="J32" s="87" t="inlineStr">
        <is>
          <t>7.0</t>
        </is>
      </c>
      <c r="K32" s="87" t="inlineStr">
        <is>
          <t>3.86</t>
        </is>
      </c>
      <c r="L32" s="87" t="inlineStr">
        <is>
          <t>1.14</t>
        </is>
      </c>
      <c r="M32" s="87" t="inlineStr">
        <is>
          <t>10</t>
        </is>
      </c>
      <c r="N32" s="87" t="inlineStr">
        <is>
          <t>3</t>
        </is>
      </c>
      <c r="O32" s="87" t="inlineStr">
        <is>
          <t>04/25/2026 11:26</t>
        </is>
      </c>
    </row>
  </sheetData>
  <mergeCells count="2">
    <mergeCell ref="A1:O1"/>
    <mergeCell ref="A14:O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2026-04-25T11:26:09Z</dcterms:modified>
  <cp:lastModifiedBy>John Ventry</cp:lastModifiedBy>
  <cp:revision>0</cp:revision>
</cp:coreProperties>
</file>